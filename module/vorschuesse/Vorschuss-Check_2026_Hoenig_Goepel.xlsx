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Annahmen" sheetId="2" state="visible" r:id="rId4"/>
    <sheet name="Auftritte 2026" sheetId="3" state="visible" r:id="rId5"/>
    <sheet name="Pascal Göpel" sheetId="4" state="visible" r:id="rId6"/>
    <sheet name="Theo Höni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<sst xmlns="http://schemas.openxmlformats.org/spreadsheetml/2006/main" count="298" uniqueCount="142">
  <si>
    <t xml:space="preserve">Vorschuss-Check 2026 · Hofbräu-Regiment</t>
  </si>
  <si>
    <t xml:space="preserve">Führen die laufenden Monatsvorschüsse zu einem ausgeglichenen Saldo am Jahresende? · Stand 31.08.2026</t>
  </si>
  <si>
    <t xml:space="preserve">Theo Hönig</t>
  </si>
  <si>
    <t xml:space="preserve">Pascal Göpel</t>
  </si>
  <si>
    <t xml:space="preserve">Im Regiment seit</t>
  </si>
  <si>
    <t xml:space="preserve">Monatsvorschuss</t>
  </si>
  <si>
    <t xml:space="preserve">Auftritte 2026 (F+M)</t>
  </si>
  <si>
    <t xml:space="preserve">Gagen netto</t>
  </si>
  <si>
    <t xml:space="preserve">Rechnung brutto (Jahresende)</t>
  </si>
  <si>
    <t xml:space="preserve">Vorschüsse gesamt 2026</t>
  </si>
  <si>
    <t xml:space="preserve">Saldo (+ = Nachzahlung / – = zu viel gezahlt)</t>
  </si>
  <si>
    <t xml:space="preserve">rechnerisch richtiger Monatsvorschuss</t>
  </si>
  <si>
    <t xml:space="preserve">Zahl der Monatsvorschüsse</t>
  </si>
  <si>
    <t xml:space="preserve">Was heißt das?</t>
  </si>
  <si>
    <t xml:space="preserve">• Beide kommen 2026 auf exakt 35 Auftritte und damit auf dieselbe Gagensumme von 15.200 € netto –</t>
  </si>
  <si>
    <t xml:space="preserve">   Theo durch die drei Termine im Februar/März, Pascal durch Walker-Geburtstag und Rothaus Streetfood.</t>
  </si>
  <si>
    <t xml:space="preserve">• Pascal liegt mit 1.700 €/Monat nahezu punktgenau (600 € Nachzahlung am Jahresende) – keine Anpassung nötig.</t>
  </si>
  <si>
    <t xml:space="preserve">• Theo ist überzahlt, weil er 12 Monatsvorschüsse à 1.800 € erhält (21.600 €), Pascal dagegen nur 8 à 1.700 €</t>
  </si>
  <si>
    <t xml:space="preserve">   plus 1.000 € Einmalzahlung (14.600 €). Rechnerisch richtig wären bei Theo rund 1.355 €/Monat.</t>
  </si>
  <si>
    <t xml:space="preserve">• Details und Stellschrauben je Person auf den Blättern „Theo Hönig“ und „Pascal Göpel“ (Abschnitt 4).</t>
  </si>
  <si>
    <t xml:space="preserve">• Mündlich zugesagte Termine sind wie fixe behandelt (Vorgabe Dirk) – das übliche Ausfallrisiko besteht bei</t>
  </si>
  <si>
    <t xml:space="preserve">   fixen Zusagen gleichermaßen und wird hier nicht gesondert bewertet.</t>
  </si>
  <si>
    <t xml:space="preserve">Annahmen &amp; Konditionen</t>
  </si>
  <si>
    <t xml:space="preserve">Hofbräu-Regiment · Gagen-/Vorschuss-Abgleich 2026 · Stand 31.08.2026</t>
  </si>
  <si>
    <t xml:space="preserve">Gagen</t>
  </si>
  <si>
    <t xml:space="preserve">Gage pro Auftritt (Normalsatz)</t>
  </si>
  <si>
    <t xml:space="preserve">Angabe Dirk</t>
  </si>
  <si>
    <t xml:space="preserve">Gage pro Auftritt (reduzierter Satz)</t>
  </si>
  <si>
    <t xml:space="preserve">Angabe Dirk – gilt für Wintermarkt Rothaus, Stuttgarter Frühlingsfest und Cannstatter Volksfest</t>
  </si>
  <si>
    <t xml:space="preserve">Gage Benefizkonzert</t>
  </si>
  <si>
    <t xml:space="preserve">13.12.2026 Benefiz Ludwigsburg – keine Gage</t>
  </si>
  <si>
    <t xml:space="preserve">Vorschuss pro Monat</t>
  </si>
  <si>
    <t xml:space="preserve">seit 01.01.2026</t>
  </si>
  <si>
    <t xml:space="preserve">Anzahl Monate 2026</t>
  </si>
  <si>
    <t xml:space="preserve">Jan–Dez 2026</t>
  </si>
  <si>
    <t xml:space="preserve">MwSt-Satz</t>
  </si>
  <si>
    <t xml:space="preserve">Theo stellt Jahresrechnung mit 7 % MwSt</t>
  </si>
  <si>
    <t xml:space="preserve">Vorschuss ist … (1 = brutto inkl. MwSt)</t>
  </si>
  <si>
    <t xml:space="preserve">Vorgabe Dirk: Vorschüsse sind brutto zu verstehen</t>
  </si>
  <si>
    <t xml:space="preserve">seit 01.05.2026</t>
  </si>
  <si>
    <t xml:space="preserve">Mai–Dez 2026</t>
  </si>
  <si>
    <t xml:space="preserve">Einmalzahlung 25.04.2026</t>
  </si>
  <si>
    <t xml:space="preserve">Pascal ist von der Mehrwertsteuer befreit</t>
  </si>
  <si>
    <t xml:space="preserve">Wer spielt welche Auftritte?</t>
  </si>
  <si>
    <t xml:space="preserve">• Pascal Göpel: Sänger seit 01.04.2026 → alle Auftritte ab dem 01.04.2026.</t>
  </si>
  <si>
    <t xml:space="preserve">• Theo Hönig: spielt seit Jahresanfang – NICHT dabei: Wintermarkt Rothaus (31.01.–04.02.), Geburtstag Walker (22.08.), Rothaus Streetfood (12.+13.09.).</t>
  </si>
  <si>
    <t xml:space="preserve">• Berücksichtigt werden Termine mit Status Fix (F) und Mündlich (M). Status Angefragt (A) bleibt außen vor (Vorgabe Dirk).</t>
  </si>
  <si>
    <t xml:space="preserve">• Benefizkonzert 13.12.2026 Ludwigsburg: keine Gage für beide.</t>
  </si>
  <si>
    <t xml:space="preserve">• Datenquelle Termine: CRM-Kalender (Supabase), Band-ID 22 = Hofbräu-Regiment, abgerufen 31.08.2026.</t>
  </si>
  <si>
    <t xml:space="preserve">Offener Punkt / Annahme</t>
  </si>
  <si>
    <t xml:space="preserve">Bei Theo ist unterstellt: die Gage (500 € / 350 €) ist ein NETTO-Betrag, die 7 % MwSt kommen</t>
  </si>
  <si>
    <t xml:space="preserve">auf der Jahresrechnung obendrauf. Alternativszenario (Gage = brutto inkl. 7 %) siehe Blatt „Theo Hönig“.</t>
  </si>
  <si>
    <t xml:space="preserve">Auftritte Hofbräu-Regiment 2026</t>
  </si>
  <si>
    <t xml:space="preserve">Quelle: CRM-Kalender (Band-ID 22), Stand 31.08.2026 · Status: F = Fix, M = Mündlich, A = Angefragt (nicht gewertet)</t>
  </si>
  <si>
    <t xml:space="preserve">Datum</t>
  </si>
  <si>
    <t xml:space="preserve">Veranstaltung</t>
  </si>
  <si>
    <t xml:space="preserve">Veranstalter / Ort</t>
  </si>
  <si>
    <t xml:space="preserve">Status</t>
  </si>
  <si>
    <t xml:space="preserve">Gagen-Typ</t>
  </si>
  <si>
    <t xml:space="preserve">Gage/Auftritt</t>
  </si>
  <si>
    <t xml:space="preserve">Theo dabei</t>
  </si>
  <si>
    <t xml:space="preserve">Pascal dabei</t>
  </si>
  <si>
    <t xml:space="preserve">Gage Theo</t>
  </si>
  <si>
    <t xml:space="preserve">Gage Pascal</t>
  </si>
  <si>
    <t xml:space="preserve">Bemerkung</t>
  </si>
  <si>
    <t xml:space="preserve">Wintermarkt Rothaus</t>
  </si>
  <si>
    <t xml:space="preserve">Badische Staatsbrauerei Rothaus</t>
  </si>
  <si>
    <t xml:space="preserve">F</t>
  </si>
  <si>
    <t xml:space="preserve">reduziert</t>
  </si>
  <si>
    <t xml:space="preserve">Theo nicht dabei / vor Pascals Zeit</t>
  </si>
  <si>
    <t xml:space="preserve">Rielasingen</t>
  </si>
  <si>
    <t xml:space="preserve">Normal</t>
  </si>
  <si>
    <t xml:space="preserve">vor Pascals Zeit</t>
  </si>
  <si>
    <t xml:space="preserve">Fasching Münchingen</t>
  </si>
  <si>
    <t xml:space="preserve">Hausärztetag</t>
  </si>
  <si>
    <t xml:space="preserve">Stuttgart</t>
  </si>
  <si>
    <t xml:space="preserve">Wasenopening 2026</t>
  </si>
  <si>
    <t xml:space="preserve">Marco Di Pilla</t>
  </si>
  <si>
    <t xml:space="preserve">Normalsatz</t>
  </si>
  <si>
    <t xml:space="preserve">Stuttgarter Frühlingsfest</t>
  </si>
  <si>
    <t xml:space="preserve">Beim Benz</t>
  </si>
  <si>
    <t xml:space="preserve">M</t>
  </si>
  <si>
    <t xml:space="preserve">Maifest Bettringen</t>
  </si>
  <si>
    <t xml:space="preserve">Berglesbond 2026</t>
  </si>
  <si>
    <t xml:space="preserve">Stadtfest Schwäbisch Gmünd</t>
  </si>
  <si>
    <t xml:space="preserve">Stadtkapelle Wernau</t>
  </si>
  <si>
    <t xml:space="preserve">HSN Denkendorf</t>
  </si>
  <si>
    <t xml:space="preserve">Motocross Aichwald</t>
  </si>
  <si>
    <t xml:space="preserve">SC Freiburg Fanfest</t>
  </si>
  <si>
    <t xml:space="preserve">Rothaus AG, Grafenhausen</t>
  </si>
  <si>
    <t xml:space="preserve">VR-Bank Sommerfest</t>
  </si>
  <si>
    <t xml:space="preserve">VR-Bank</t>
  </si>
  <si>
    <t xml:space="preserve">Ochsenfest Stangenbach</t>
  </si>
  <si>
    <t xml:space="preserve">Stammtisch Stangenbach e.V.</t>
  </si>
  <si>
    <t xml:space="preserve">Open Air – Geburtstag Walker</t>
  </si>
  <si>
    <t xml:space="preserve">geschlossene Gesellschaft</t>
  </si>
  <si>
    <t xml:space="preserve">Theo nicht dabei</t>
  </si>
  <si>
    <t xml:space="preserve">Rothaus Streetfood / Foodtruck</t>
  </si>
  <si>
    <t xml:space="preserve">Rothaus AG</t>
  </si>
  <si>
    <t xml:space="preserve">Oktoberfest Koblenz</t>
  </si>
  <si>
    <t xml:space="preserve">Erbenheim</t>
  </si>
  <si>
    <t xml:space="preserve">Cannstatter Volksfest</t>
  </si>
  <si>
    <t xml:space="preserve">Beim Benz im Hofbräuzelt</t>
  </si>
  <si>
    <t xml:space="preserve">BOF – Rothaus Treffpunkt Zelt</t>
  </si>
  <si>
    <t xml:space="preserve">Badisches Oktoberfest Freiburg</t>
  </si>
  <si>
    <t xml:space="preserve">Heiner Wiesn Darmstadt</t>
  </si>
  <si>
    <t xml:space="preserve">iVents GmbH</t>
  </si>
  <si>
    <t xml:space="preserve">Partynacht Plüderhausen</t>
  </si>
  <si>
    <t xml:space="preserve">A</t>
  </si>
  <si>
    <t xml:space="preserve">Status Angefragt – laut Vorgabe NICHT berücksichtigt</t>
  </si>
  <si>
    <t xml:space="preserve">Benefizkonzert Ludwigsburg</t>
  </si>
  <si>
    <t xml:space="preserve">Benefiz</t>
  </si>
  <si>
    <t xml:space="preserve">Benefiz – keine Gage</t>
  </si>
  <si>
    <t xml:space="preserve">Summe berücksichtigte Auftritte</t>
  </si>
  <si>
    <t xml:space="preserve">davon Status „Fix“ (F)</t>
  </si>
  <si>
    <t xml:space="preserve">davon Status „Mündlich“ (M)</t>
  </si>
  <si>
    <t xml:space="preserve">Spalten „Theo dabei“ / „Pascal dabei“ (blau) sind die Stellschrauben: 1 = spielt, 0 = spielt nicht.</t>
  </si>
  <si>
    <t xml:space="preserve">Sänger Hofbräu-Regiment seit 01.04.2026 · Vorschuss 1.700 €/Monat seit 01.05.2026 · von der MwSt befreit</t>
  </si>
  <si>
    <t xml:space="preserve">1 · Gagen 2026 (F + M)</t>
  </si>
  <si>
    <t xml:space="preserve">Anzahl Auftritte</t>
  </si>
  <si>
    <t xml:space="preserve">Gagen gesamt (netto)</t>
  </si>
  <si>
    <t xml:space="preserve">zzgl. MwSt</t>
  </si>
  <si>
    <t xml:space="preserve">Rechnungsbetrag Jahresende (brutto)</t>
  </si>
  <si>
    <t xml:space="preserve">2 · Vorschüsse 2026</t>
  </si>
  <si>
    <t xml:space="preserve">Anzahl Monate</t>
  </si>
  <si>
    <t xml:space="preserve">3 · Saldo zum Jahresende</t>
  </si>
  <si>
    <t xml:space="preserve">Saldo (Rechnung ./. Vorschüsse)</t>
  </si>
  <si>
    <t xml:space="preserve">Lesart</t>
  </si>
  <si>
    <t xml:space="preserve">Differenz zum tatsächlichen Vorschuss</t>
  </si>
  <si>
    <t xml:space="preserve">4 · Steuerung ab Oktober 2026</t>
  </si>
  <si>
    <t xml:space="preserve">bereits gezahlt (Einmalzahlung + Mai–Sep, 5 Monate)</t>
  </si>
  <si>
    <t xml:space="preserve">verbleibende Monatszahlungen (Okt–Dez)</t>
  </si>
  <si>
    <t xml:space="preserve">offener Restbetrag bis Jahresende</t>
  </si>
  <si>
    <t xml:space="preserve">→ Vorschuss Okt–Dez für exakten Ausgleich</t>
  </si>
  <si>
    <t xml:space="preserve">Differenz zum aktuellen Vorschuss</t>
  </si>
  <si>
    <t xml:space="preserve">Vorschuss 1.800 €/Monat seit 01.01.2026 · Jahresrechnung mit 7 % MwSt</t>
  </si>
  <si>
    <t xml:space="preserve">bereits gezahlt (Jan–Sep, 9 Monate – Septemberrate ist bereits ausbezahlt)</t>
  </si>
  <si>
    <t xml:space="preserve">6 · Alternative: Gage 500 €/350 € ist bereits brutto (inkl. 7 %)</t>
  </si>
  <si>
    <t xml:space="preserve">Rechnungsbetrag brutto = Gagensumme</t>
  </si>
  <si>
    <t xml:space="preserve">davon MwSt 7 %</t>
  </si>
  <si>
    <t xml:space="preserve">Saldo in diesem Fall</t>
  </si>
  <si>
    <t xml:space="preserve">Bitte klären: In der Hauptrechnung oben ist Variante „netto + 7 %“ unterstellt.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</si>
</sst>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0"/>
    <numFmt numFmtId="167" formatCode="#,##0.00&quot; €&quot;;\(#,##0.00&quot; €)&quot;;\-"/>
    <numFmt numFmtId="168" formatCode="0.0%"/>
    <numFmt numFmtId="169" formatCode="dd\.mm\.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</row>
    <row r="5" customFormat="false" ht="15" hidden="false" customHeight="false" outlineLevel="0" collapsed="false">
      <c r="A5" s="5" t="s">
        <v>4</v>
      </c>
      <c r="B5" s="6" t="str">
        <f aca="false">"01.01.2026"</f>
        <v>01.01.2026</v>
      </c>
      <c r="C5" s="6" t="str">
        <f aca="false">"01.04.2026"</f>
        <v>01.04.2026</v>
      </c>
    </row>
    <row r="6" customFormat="false" ht="15" hidden="false" customHeight="false" outlineLevel="0" collapsed="false">
      <c r="A6" s="5" t="s">
        <v>5</v>
      </c>
      <c r="B6" s="7" t="n">
        <f aca="false">Annahmen!$B$10</f>
        <v>1800</v>
      </c>
      <c r="C6" s="7" t="n">
        <f aca="false">Annahmen!$B$16</f>
        <v>1700</v>
      </c>
    </row>
    <row r="7" customFormat="false" ht="15" hidden="false" customHeight="false" outlineLevel="0" collapsed="false">
      <c r="A7" s="5" t="s">
        <v>6</v>
      </c>
      <c r="B7" s="8" t="n">
        <f aca="false">'Theo Hönig'!$B$5</f>
        <v>35</v>
      </c>
      <c r="C7" s="8" t="n">
        <f aca="false">'Pascal Göpel'!$B$5</f>
        <v>35</v>
      </c>
    </row>
    <row r="8" customFormat="false" ht="15" hidden="false" customHeight="false" outlineLevel="0" collapsed="false">
      <c r="A8" s="5" t="s">
        <v>7</v>
      </c>
      <c r="B8" s="9" t="n">
        <f aca="false">'Theo Hönig'!$B$6</f>
        <v>15200</v>
      </c>
      <c r="C8" s="9" t="n">
        <f aca="false">'Pascal Göpel'!$B$6</f>
        <v>15200</v>
      </c>
    </row>
    <row r="9" customFormat="false" ht="15" hidden="false" customHeight="false" outlineLevel="0" collapsed="false">
      <c r="A9" s="5" t="s">
        <v>8</v>
      </c>
      <c r="B9" s="9" t="n">
        <f aca="false">'Theo Hönig'!$B$8</f>
        <v>16264</v>
      </c>
      <c r="C9" s="9" t="n">
        <f aca="false">'Pascal Göpel'!$B$8</f>
        <v>15200</v>
      </c>
    </row>
    <row r="10" customFormat="false" ht="15" hidden="false" customHeight="false" outlineLevel="0" collapsed="false">
      <c r="A10" s="5" t="s">
        <v>9</v>
      </c>
      <c r="B10" s="9" t="n">
        <f aca="false">'Theo Hönig'!$B$13</f>
        <v>21600</v>
      </c>
      <c r="C10" s="9" t="n">
        <f aca="false">'Pascal Göpel'!$B$14</f>
        <v>14600</v>
      </c>
    </row>
    <row r="11" customFormat="false" ht="15" hidden="false" customHeight="false" outlineLevel="0" collapsed="false">
      <c r="A11" s="10" t="s">
        <v>10</v>
      </c>
      <c r="B11" s="11" t="n">
        <f aca="false">'Theo Hönig'!$B$16</f>
        <v>-5336</v>
      </c>
      <c r="C11" s="11" t="n">
        <f aca="false">'Pascal Göpel'!$B$17</f>
        <v>600</v>
      </c>
    </row>
    <row r="12" customFormat="false" ht="15" hidden="false" customHeight="false" outlineLevel="0" collapsed="false">
      <c r="A12" s="5" t="s">
        <v>11</v>
      </c>
      <c r="B12" s="9" t="n">
        <f aca="false">'Theo Hönig'!$B$18</f>
        <v>1355.33333333333</v>
      </c>
      <c r="C12" s="9" t="n">
        <f aca="false">'Pascal Göpel'!$B$19</f>
        <v>1775</v>
      </c>
    </row>
    <row r="13" customFormat="false" ht="15" hidden="false" customHeight="false" outlineLevel="0" collapsed="false">
      <c r="A13" s="5" t="s">
        <v>12</v>
      </c>
      <c r="B13" s="8" t="n">
        <f aca="false">Annahmen!$B$11</f>
        <v>12</v>
      </c>
      <c r="C13" s="8" t="n">
        <f aca="false">Annahmen!$B$17</f>
        <v>8</v>
      </c>
    </row>
    <row r="15" customFormat="false" ht="15" hidden="false" customHeight="false" outlineLevel="0" collapsed="false">
      <c r="A15" s="12" t="s">
        <v>13</v>
      </c>
      <c r="B15" s="13"/>
      <c r="C15" s="13"/>
    </row>
    <row r="16" customFormat="false" ht="15" hidden="false" customHeight="false" outlineLevel="0" collapsed="false">
      <c r="A16" s="14" t="s">
        <v>14</v>
      </c>
    </row>
    <row r="17" customFormat="false" ht="15" hidden="false" customHeight="false" outlineLevel="0" collapsed="false">
      <c r="A17" s="14" t="s">
        <v>15</v>
      </c>
    </row>
    <row r="18" customFormat="false" ht="15" hidden="false" customHeight="false" outlineLevel="0" collapsed="false">
      <c r="A18" s="14" t="s">
        <v>16</v>
      </c>
    </row>
    <row r="19" customFormat="false" ht="15" hidden="false" customHeight="false" outlineLevel="0" collapsed="false">
      <c r="A19" s="14" t="s">
        <v>17</v>
      </c>
    </row>
    <row r="20" customFormat="false" ht="15" hidden="false" customHeight="false" outlineLevel="0" collapsed="false">
      <c r="A20" s="14" t="s">
        <v>18</v>
      </c>
    </row>
    <row r="21" customFormat="false" ht="15" hidden="false" customHeight="false" outlineLevel="0" collapsed="false">
      <c r="A21" s="14" t="s">
        <v>19</v>
      </c>
    </row>
    <row r="22" customFormat="false" ht="15" hidden="false" customHeight="false" outlineLevel="0" collapsed="false">
      <c r="A22" s="14" t="s">
        <v>20</v>
      </c>
    </row>
    <row r="23" customFormat="false" ht="15" hidden="false" customHeight="false" outlineLevel="0" collapsed="false">
      <c r="A23" s="1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12" t="s">
        <v>24</v>
      </c>
      <c r="B4" s="13"/>
      <c r="C4" s="13"/>
    </row>
    <row r="5" customFormat="false" ht="15" hidden="false" customHeight="false" outlineLevel="0" collapsed="false">
      <c r="A5" s="14" t="s">
        <v>25</v>
      </c>
      <c r="B5" s="15" t="n">
        <v>500</v>
      </c>
      <c r="C5" s="2" t="s">
        <v>26</v>
      </c>
    </row>
    <row r="6" customFormat="false" ht="15" hidden="false" customHeight="false" outlineLevel="0" collapsed="false">
      <c r="A6" s="14" t="s">
        <v>27</v>
      </c>
      <c r="B6" s="15" t="n">
        <v>350</v>
      </c>
      <c r="C6" s="2" t="s">
        <v>28</v>
      </c>
    </row>
    <row r="7" customFormat="false" ht="15" hidden="false" customHeight="false" outlineLevel="0" collapsed="false">
      <c r="A7" s="14" t="s">
        <v>29</v>
      </c>
      <c r="B7" s="15" t="n">
        <v>0</v>
      </c>
      <c r="C7" s="2" t="s">
        <v>30</v>
      </c>
    </row>
    <row r="9" customFormat="false" ht="15" hidden="false" customHeight="false" outlineLevel="0" collapsed="false">
      <c r="A9" s="12" t="s">
        <v>2</v>
      </c>
      <c r="B9" s="13"/>
      <c r="C9" s="13"/>
    </row>
    <row r="10" customFormat="false" ht="15" hidden="false" customHeight="false" outlineLevel="0" collapsed="false">
      <c r="A10" s="14" t="s">
        <v>31</v>
      </c>
      <c r="B10" s="15" t="n">
        <v>1800</v>
      </c>
      <c r="C10" s="2" t="s">
        <v>32</v>
      </c>
    </row>
    <row r="11" customFormat="false" ht="15" hidden="false" customHeight="false" outlineLevel="0" collapsed="false">
      <c r="A11" s="14" t="s">
        <v>33</v>
      </c>
      <c r="B11" s="16" t="n">
        <v>12</v>
      </c>
      <c r="C11" s="2" t="s">
        <v>34</v>
      </c>
    </row>
    <row r="12" customFormat="false" ht="15" hidden="false" customHeight="false" outlineLevel="0" collapsed="false">
      <c r="A12" s="14" t="s">
        <v>35</v>
      </c>
      <c r="B12" s="17" t="n">
        <v>0.07</v>
      </c>
      <c r="C12" s="2" t="s">
        <v>36</v>
      </c>
    </row>
    <row r="13" customFormat="false" ht="15" hidden="false" customHeight="false" outlineLevel="0" collapsed="false">
      <c r="A13" s="14" t="s">
        <v>37</v>
      </c>
      <c r="B13" s="16" t="n">
        <v>1</v>
      </c>
      <c r="C13" s="2" t="s">
        <v>38</v>
      </c>
    </row>
    <row r="15" customFormat="false" ht="15" hidden="false" customHeight="false" outlineLevel="0" collapsed="false">
      <c r="A15" s="12" t="s">
        <v>3</v>
      </c>
      <c r="B15" s="13"/>
      <c r="C15" s="13"/>
    </row>
    <row r="16" customFormat="false" ht="15" hidden="false" customHeight="false" outlineLevel="0" collapsed="false">
      <c r="A16" s="14" t="s">
        <v>31</v>
      </c>
      <c r="B16" s="15" t="n">
        <v>1700</v>
      </c>
      <c r="C16" s="2" t="s">
        <v>39</v>
      </c>
    </row>
    <row r="17" customFormat="false" ht="15" hidden="false" customHeight="false" outlineLevel="0" collapsed="false">
      <c r="A17" s="14" t="s">
        <v>33</v>
      </c>
      <c r="B17" s="16" t="n">
        <v>8</v>
      </c>
      <c r="C17" s="2" t="s">
        <v>40</v>
      </c>
    </row>
    <row r="18" customFormat="false" ht="15" hidden="false" customHeight="false" outlineLevel="0" collapsed="false">
      <c r="A18" s="14" t="s">
        <v>41</v>
      </c>
      <c r="B18" s="15" t="n">
        <v>1000</v>
      </c>
      <c r="C18" s="2" t="s">
        <v>26</v>
      </c>
    </row>
    <row r="19" customFormat="false" ht="15" hidden="false" customHeight="false" outlineLevel="0" collapsed="false">
      <c r="A19" s="14" t="s">
        <v>35</v>
      </c>
      <c r="B19" s="17" t="n">
        <v>0</v>
      </c>
      <c r="C19" s="2" t="s">
        <v>42</v>
      </c>
    </row>
    <row r="21" customFormat="false" ht="15" hidden="false" customHeight="false" outlineLevel="0" collapsed="false">
      <c r="A21" s="12" t="s">
        <v>43</v>
      </c>
      <c r="B21" s="13"/>
      <c r="C21" s="13"/>
    </row>
    <row r="22" customFormat="false" ht="15" hidden="false" customHeight="false" outlineLevel="0" collapsed="false">
      <c r="A22" s="14" t="s">
        <v>44</v>
      </c>
    </row>
    <row r="23" customFormat="false" ht="15" hidden="false" customHeight="false" outlineLevel="0" collapsed="false">
      <c r="A23" s="14" t="s">
        <v>45</v>
      </c>
    </row>
    <row r="24" customFormat="false" ht="15" hidden="false" customHeight="false" outlineLevel="0" collapsed="false">
      <c r="A24" s="14" t="s">
        <v>46</v>
      </c>
    </row>
    <row r="25" customFormat="false" ht="15" hidden="false" customHeight="false" outlineLevel="0" collapsed="false">
      <c r="A25" s="14" t="s">
        <v>47</v>
      </c>
    </row>
    <row r="26" customFormat="false" ht="15" hidden="false" customHeight="false" outlineLevel="0" collapsed="false">
      <c r="A26" s="14" t="s">
        <v>48</v>
      </c>
    </row>
    <row r="28" customFormat="false" ht="15" hidden="false" customHeight="false" outlineLevel="0" collapsed="false">
      <c r="A28" s="12" t="s">
        <v>49</v>
      </c>
      <c r="B28" s="13"/>
      <c r="C28" s="13"/>
    </row>
    <row r="29" customFormat="false" ht="15" hidden="false" customHeight="false" outlineLevel="0" collapsed="false">
      <c r="A29" s="14" t="s">
        <v>50</v>
      </c>
    </row>
    <row r="30" customFormat="false" ht="15" hidden="false" customHeight="false" outlineLevel="0" collapsed="false">
      <c r="A30" s="1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23.85" hidden="false" customHeight="false" outlineLevel="0" collapsed="false">
      <c r="A4" s="18" t="s">
        <v>54</v>
      </c>
      <c r="B4" s="18" t="s">
        <v>55</v>
      </c>
      <c r="C4" s="18" t="s">
        <v>56</v>
      </c>
      <c r="D4" s="18" t="s">
        <v>57</v>
      </c>
      <c r="E4" s="18" t="s">
        <v>58</v>
      </c>
      <c r="F4" s="18" t="s">
        <v>59</v>
      </c>
      <c r="G4" s="18" t="s">
        <v>60</v>
      </c>
      <c r="H4" s="18" t="s">
        <v>61</v>
      </c>
      <c r="I4" s="18" t="s">
        <v>62</v>
      </c>
      <c r="J4" s="18" t="s">
        <v>63</v>
      </c>
      <c r="K4" s="18" t="s">
        <v>64</v>
      </c>
    </row>
    <row r="5" customFormat="false" ht="15" hidden="false" customHeight="false" outlineLevel="0" collapsed="false">
      <c r="A5" s="19" t="n">
        <v>46053</v>
      </c>
      <c r="B5" s="5" t="s">
        <v>65</v>
      </c>
      <c r="C5" s="5" t="s">
        <v>66</v>
      </c>
      <c r="D5" s="20" t="s">
        <v>67</v>
      </c>
      <c r="E5" s="5" t="s">
        <v>68</v>
      </c>
      <c r="F5" s="21" t="n">
        <f aca="false">IF($D5="A",0,IF($E5="Benefiz",Annahmen!$B$7,IF($E5="reduziert",Annahmen!$B$6,Annahmen!$B$5)))</f>
        <v>350</v>
      </c>
      <c r="G5" s="22" t="n">
        <v>0</v>
      </c>
      <c r="H5" s="22" t="n">
        <v>0</v>
      </c>
      <c r="I5" s="23" t="n">
        <f aca="false">$F5*$G5</f>
        <v>0</v>
      </c>
      <c r="J5" s="23" t="n">
        <f aca="false">$F5*$H5</f>
        <v>0</v>
      </c>
      <c r="K5" s="24" t="s">
        <v>69</v>
      </c>
    </row>
    <row r="6" customFormat="false" ht="15" hidden="false" customHeight="false" outlineLevel="0" collapsed="false">
      <c r="A6" s="19" t="n">
        <v>46054</v>
      </c>
      <c r="B6" s="5" t="s">
        <v>65</v>
      </c>
      <c r="C6" s="5" t="s">
        <v>66</v>
      </c>
      <c r="D6" s="20" t="s">
        <v>67</v>
      </c>
      <c r="E6" s="5" t="s">
        <v>68</v>
      </c>
      <c r="F6" s="21" t="n">
        <f aca="false">IF($D6="A",0,IF($E6="Benefiz",Annahmen!$B$7,IF($E6="reduziert",Annahmen!$B$6,Annahmen!$B$5)))</f>
        <v>350</v>
      </c>
      <c r="G6" s="22" t="n">
        <v>0</v>
      </c>
      <c r="H6" s="22" t="n">
        <v>0</v>
      </c>
      <c r="I6" s="23" t="n">
        <f aca="false">$F6*$G6</f>
        <v>0</v>
      </c>
      <c r="J6" s="23" t="n">
        <f aca="false">$F6*$H6</f>
        <v>0</v>
      </c>
      <c r="K6" s="24" t="s">
        <v>69</v>
      </c>
    </row>
    <row r="7" customFormat="false" ht="15" hidden="false" customHeight="false" outlineLevel="0" collapsed="false">
      <c r="A7" s="19" t="n">
        <v>46055</v>
      </c>
      <c r="B7" s="5" t="s">
        <v>65</v>
      </c>
      <c r="C7" s="5" t="s">
        <v>66</v>
      </c>
      <c r="D7" s="20" t="s">
        <v>67</v>
      </c>
      <c r="E7" s="5" t="s">
        <v>68</v>
      </c>
      <c r="F7" s="21" t="n">
        <f aca="false">IF($D7="A",0,IF($E7="Benefiz",Annahmen!$B$7,IF($E7="reduziert",Annahmen!$B$6,Annahmen!$B$5)))</f>
        <v>350</v>
      </c>
      <c r="G7" s="22" t="n">
        <v>0</v>
      </c>
      <c r="H7" s="22" t="n">
        <v>0</v>
      </c>
      <c r="I7" s="23" t="n">
        <f aca="false">$F7*$G7</f>
        <v>0</v>
      </c>
      <c r="J7" s="23" t="n">
        <f aca="false">$F7*$H7</f>
        <v>0</v>
      </c>
      <c r="K7" s="24" t="s">
        <v>69</v>
      </c>
    </row>
    <row r="8" customFormat="false" ht="15" hidden="false" customHeight="false" outlineLevel="0" collapsed="false">
      <c r="A8" s="19" t="n">
        <v>46056</v>
      </c>
      <c r="B8" s="5" t="s">
        <v>65</v>
      </c>
      <c r="C8" s="5" t="s">
        <v>66</v>
      </c>
      <c r="D8" s="20" t="s">
        <v>67</v>
      </c>
      <c r="E8" s="5" t="s">
        <v>68</v>
      </c>
      <c r="F8" s="21" t="n">
        <f aca="false">IF($D8="A",0,IF($E8="Benefiz",Annahmen!$B$7,IF($E8="reduziert",Annahmen!$B$6,Annahmen!$B$5)))</f>
        <v>350</v>
      </c>
      <c r="G8" s="22" t="n">
        <v>0</v>
      </c>
      <c r="H8" s="22" t="n">
        <v>0</v>
      </c>
      <c r="I8" s="23" t="n">
        <f aca="false">$F8*$G8</f>
        <v>0</v>
      </c>
      <c r="J8" s="23" t="n">
        <f aca="false">$F8*$H8</f>
        <v>0</v>
      </c>
      <c r="K8" s="24" t="s">
        <v>69</v>
      </c>
    </row>
    <row r="9" customFormat="false" ht="15" hidden="false" customHeight="false" outlineLevel="0" collapsed="false">
      <c r="A9" s="19" t="n">
        <v>46057</v>
      </c>
      <c r="B9" s="5" t="s">
        <v>65</v>
      </c>
      <c r="C9" s="5" t="s">
        <v>66</v>
      </c>
      <c r="D9" s="20" t="s">
        <v>67</v>
      </c>
      <c r="E9" s="5" t="s">
        <v>68</v>
      </c>
      <c r="F9" s="21" t="n">
        <f aca="false">IF($D9="A",0,IF($E9="Benefiz",Annahmen!$B$7,IF($E9="reduziert",Annahmen!$B$6,Annahmen!$B$5)))</f>
        <v>350</v>
      </c>
      <c r="G9" s="22" t="n">
        <v>0</v>
      </c>
      <c r="H9" s="22" t="n">
        <v>0</v>
      </c>
      <c r="I9" s="23" t="n">
        <f aca="false">$F9*$G9</f>
        <v>0</v>
      </c>
      <c r="J9" s="23" t="n">
        <f aca="false">$F9*$H9</f>
        <v>0</v>
      </c>
      <c r="K9" s="24" t="s">
        <v>69</v>
      </c>
    </row>
    <row r="10" customFormat="false" ht="15" hidden="false" customHeight="false" outlineLevel="0" collapsed="false">
      <c r="A10" s="19" t="n">
        <v>46065</v>
      </c>
      <c r="B10" s="5" t="s">
        <v>70</v>
      </c>
      <c r="C10" s="5"/>
      <c r="D10" s="20" t="s">
        <v>67</v>
      </c>
      <c r="E10" s="5" t="s">
        <v>71</v>
      </c>
      <c r="F10" s="21" t="n">
        <f aca="false">IF($D10="A",0,IF($E10="Benefiz",Annahmen!$B$7,IF($E10="reduziert",Annahmen!$B$6,Annahmen!$B$5)))</f>
        <v>500</v>
      </c>
      <c r="G10" s="22" t="n">
        <v>1</v>
      </c>
      <c r="H10" s="22" t="n">
        <v>0</v>
      </c>
      <c r="I10" s="23" t="n">
        <f aca="false">$F10*$G10</f>
        <v>500</v>
      </c>
      <c r="J10" s="23" t="n">
        <f aca="false">$F10*$H10</f>
        <v>0</v>
      </c>
      <c r="K10" s="24" t="s">
        <v>72</v>
      </c>
    </row>
    <row r="11" customFormat="false" ht="15" hidden="false" customHeight="false" outlineLevel="0" collapsed="false">
      <c r="A11" s="19" t="n">
        <v>46066</v>
      </c>
      <c r="B11" s="5" t="s">
        <v>73</v>
      </c>
      <c r="C11" s="5"/>
      <c r="D11" s="20" t="s">
        <v>67</v>
      </c>
      <c r="E11" s="5" t="s">
        <v>71</v>
      </c>
      <c r="F11" s="21" t="n">
        <f aca="false">IF($D11="A",0,IF($E11="Benefiz",Annahmen!$B$7,IF($E11="reduziert",Annahmen!$B$6,Annahmen!$B$5)))</f>
        <v>500</v>
      </c>
      <c r="G11" s="22" t="n">
        <v>1</v>
      </c>
      <c r="H11" s="22" t="n">
        <v>0</v>
      </c>
      <c r="I11" s="23" t="n">
        <f aca="false">$F11*$G11</f>
        <v>500</v>
      </c>
      <c r="J11" s="23" t="n">
        <f aca="false">$F11*$H11</f>
        <v>0</v>
      </c>
      <c r="K11" s="24" t="s">
        <v>72</v>
      </c>
    </row>
    <row r="12" customFormat="false" ht="15" hidden="false" customHeight="false" outlineLevel="0" collapsed="false">
      <c r="A12" s="19" t="n">
        <v>46087</v>
      </c>
      <c r="B12" s="5" t="s">
        <v>74</v>
      </c>
      <c r="C12" s="5" t="s">
        <v>75</v>
      </c>
      <c r="D12" s="20" t="s">
        <v>67</v>
      </c>
      <c r="E12" s="5" t="s">
        <v>71</v>
      </c>
      <c r="F12" s="21" t="n">
        <f aca="false">IF($D12="A",0,IF($E12="Benefiz",Annahmen!$B$7,IF($E12="reduziert",Annahmen!$B$6,Annahmen!$B$5)))</f>
        <v>500</v>
      </c>
      <c r="G12" s="22" t="n">
        <v>1</v>
      </c>
      <c r="H12" s="22" t="n">
        <v>0</v>
      </c>
      <c r="I12" s="23" t="n">
        <f aca="false">$F12*$G12</f>
        <v>500</v>
      </c>
      <c r="J12" s="23" t="n">
        <f aca="false">$F12*$H12</f>
        <v>0</v>
      </c>
      <c r="K12" s="24" t="s">
        <v>72</v>
      </c>
    </row>
    <row r="13" customFormat="false" ht="15" hidden="false" customHeight="false" outlineLevel="0" collapsed="false">
      <c r="A13" s="19" t="n">
        <v>46123</v>
      </c>
      <c r="B13" s="5" t="s">
        <v>76</v>
      </c>
      <c r="C13" s="5" t="s">
        <v>77</v>
      </c>
      <c r="D13" s="20" t="s">
        <v>67</v>
      </c>
      <c r="E13" s="5" t="s">
        <v>71</v>
      </c>
      <c r="F13" s="21" t="n">
        <f aca="false">IF($D13="A",0,IF($E13="Benefiz",Annahmen!$B$7,IF($E13="reduziert",Annahmen!$B$6,Annahmen!$B$5)))</f>
        <v>500</v>
      </c>
      <c r="G13" s="22" t="n">
        <v>1</v>
      </c>
      <c r="H13" s="22" t="n">
        <v>1</v>
      </c>
      <c r="I13" s="23" t="n">
        <f aca="false">$F13*$G13</f>
        <v>500</v>
      </c>
      <c r="J13" s="23" t="n">
        <f aca="false">$F13*$H13</f>
        <v>500</v>
      </c>
      <c r="K13" s="24" t="s">
        <v>78</v>
      </c>
    </row>
    <row r="14" customFormat="false" ht="15" hidden="false" customHeight="false" outlineLevel="0" collapsed="false">
      <c r="A14" s="19" t="n">
        <v>46130</v>
      </c>
      <c r="B14" s="5" t="s">
        <v>79</v>
      </c>
      <c r="C14" s="5" t="s">
        <v>80</v>
      </c>
      <c r="D14" s="20" t="s">
        <v>81</v>
      </c>
      <c r="E14" s="5" t="s">
        <v>68</v>
      </c>
      <c r="F14" s="21" t="n">
        <f aca="false">IF($D14="A",0,IF($E14="Benefiz",Annahmen!$B$7,IF($E14="reduziert",Annahmen!$B$6,Annahmen!$B$5)))</f>
        <v>350</v>
      </c>
      <c r="G14" s="22" t="n">
        <v>1</v>
      </c>
      <c r="H14" s="22" t="n">
        <v>1</v>
      </c>
      <c r="I14" s="23" t="n">
        <f aca="false">$F14*$G14</f>
        <v>350</v>
      </c>
      <c r="J14" s="23" t="n">
        <f aca="false">$F14*$H14</f>
        <v>350</v>
      </c>
      <c r="K14" s="24"/>
    </row>
    <row r="15" customFormat="false" ht="15" hidden="false" customHeight="false" outlineLevel="0" collapsed="false">
      <c r="A15" s="19" t="n">
        <v>46131</v>
      </c>
      <c r="B15" s="5" t="s">
        <v>79</v>
      </c>
      <c r="C15" s="5" t="s">
        <v>80</v>
      </c>
      <c r="D15" s="20" t="s">
        <v>81</v>
      </c>
      <c r="E15" s="5" t="s">
        <v>68</v>
      </c>
      <c r="F15" s="21" t="n">
        <f aca="false">IF($D15="A",0,IF($E15="Benefiz",Annahmen!$B$7,IF($E15="reduziert",Annahmen!$B$6,Annahmen!$B$5)))</f>
        <v>350</v>
      </c>
      <c r="G15" s="22" t="n">
        <v>1</v>
      </c>
      <c r="H15" s="22" t="n">
        <v>1</v>
      </c>
      <c r="I15" s="23" t="n">
        <f aca="false">$F15*$G15</f>
        <v>350</v>
      </c>
      <c r="J15" s="23" t="n">
        <f aca="false">$F15*$H15</f>
        <v>350</v>
      </c>
      <c r="K15" s="24"/>
    </row>
    <row r="16" customFormat="false" ht="15" hidden="false" customHeight="false" outlineLevel="0" collapsed="false">
      <c r="A16" s="19" t="n">
        <v>46135</v>
      </c>
      <c r="B16" s="5" t="s">
        <v>79</v>
      </c>
      <c r="C16" s="5" t="s">
        <v>80</v>
      </c>
      <c r="D16" s="20" t="s">
        <v>81</v>
      </c>
      <c r="E16" s="5" t="s">
        <v>68</v>
      </c>
      <c r="F16" s="21" t="n">
        <f aca="false">IF($D16="A",0,IF($E16="Benefiz",Annahmen!$B$7,IF($E16="reduziert",Annahmen!$B$6,Annahmen!$B$5)))</f>
        <v>350</v>
      </c>
      <c r="G16" s="22" t="n">
        <v>1</v>
      </c>
      <c r="H16" s="22" t="n">
        <v>1</v>
      </c>
      <c r="I16" s="23" t="n">
        <f aca="false">$F16*$G16</f>
        <v>350</v>
      </c>
      <c r="J16" s="23" t="n">
        <f aca="false">$F16*$H16</f>
        <v>350</v>
      </c>
      <c r="K16" s="24"/>
    </row>
    <row r="17" customFormat="false" ht="15" hidden="false" customHeight="false" outlineLevel="0" collapsed="false">
      <c r="A17" s="19" t="n">
        <v>46136</v>
      </c>
      <c r="B17" s="5" t="s">
        <v>79</v>
      </c>
      <c r="C17" s="5" t="s">
        <v>80</v>
      </c>
      <c r="D17" s="20" t="s">
        <v>81</v>
      </c>
      <c r="E17" s="5" t="s">
        <v>68</v>
      </c>
      <c r="F17" s="21" t="n">
        <f aca="false">IF($D17="A",0,IF($E17="Benefiz",Annahmen!$B$7,IF($E17="reduziert",Annahmen!$B$6,Annahmen!$B$5)))</f>
        <v>350</v>
      </c>
      <c r="G17" s="22" t="n">
        <v>1</v>
      </c>
      <c r="H17" s="22" t="n">
        <v>1</v>
      </c>
      <c r="I17" s="23" t="n">
        <f aca="false">$F17*$G17</f>
        <v>350</v>
      </c>
      <c r="J17" s="23" t="n">
        <f aca="false">$F17*$H17</f>
        <v>350</v>
      </c>
      <c r="K17" s="24"/>
    </row>
    <row r="18" customFormat="false" ht="15" hidden="false" customHeight="false" outlineLevel="0" collapsed="false">
      <c r="A18" s="19" t="n">
        <v>46142</v>
      </c>
      <c r="B18" s="5" t="s">
        <v>82</v>
      </c>
      <c r="C18" s="5"/>
      <c r="D18" s="20" t="s">
        <v>67</v>
      </c>
      <c r="E18" s="5" t="s">
        <v>71</v>
      </c>
      <c r="F18" s="21" t="n">
        <f aca="false">IF($D18="A",0,IF($E18="Benefiz",Annahmen!$B$7,IF($E18="reduziert",Annahmen!$B$6,Annahmen!$B$5)))</f>
        <v>500</v>
      </c>
      <c r="G18" s="22" t="n">
        <v>1</v>
      </c>
      <c r="H18" s="22" t="n">
        <v>1</v>
      </c>
      <c r="I18" s="23" t="n">
        <f aca="false">$F18*$G18</f>
        <v>500</v>
      </c>
      <c r="J18" s="23" t="n">
        <f aca="false">$F18*$H18</f>
        <v>500</v>
      </c>
      <c r="K18" s="24"/>
    </row>
    <row r="19" customFormat="false" ht="15" hidden="false" customHeight="false" outlineLevel="0" collapsed="false">
      <c r="A19" s="19" t="n">
        <v>46147</v>
      </c>
      <c r="B19" s="5" t="s">
        <v>79</v>
      </c>
      <c r="C19" s="5" t="s">
        <v>80</v>
      </c>
      <c r="D19" s="20" t="s">
        <v>81</v>
      </c>
      <c r="E19" s="5" t="s">
        <v>68</v>
      </c>
      <c r="F19" s="21" t="n">
        <f aca="false">IF($D19="A",0,IF($E19="Benefiz",Annahmen!$B$7,IF($E19="reduziert",Annahmen!$B$6,Annahmen!$B$5)))</f>
        <v>350</v>
      </c>
      <c r="G19" s="22" t="n">
        <v>1</v>
      </c>
      <c r="H19" s="22" t="n">
        <v>1</v>
      </c>
      <c r="I19" s="23" t="n">
        <f aca="false">$F19*$G19</f>
        <v>350</v>
      </c>
      <c r="J19" s="23" t="n">
        <f aca="false">$F19*$H19</f>
        <v>350</v>
      </c>
      <c r="K19" s="24"/>
    </row>
    <row r="20" customFormat="false" ht="15" hidden="false" customHeight="false" outlineLevel="0" collapsed="false">
      <c r="A20" s="19" t="n">
        <v>46148</v>
      </c>
      <c r="B20" s="5" t="s">
        <v>79</v>
      </c>
      <c r="C20" s="5" t="s">
        <v>80</v>
      </c>
      <c r="D20" s="20" t="s">
        <v>81</v>
      </c>
      <c r="E20" s="5" t="s">
        <v>68</v>
      </c>
      <c r="F20" s="21" t="n">
        <f aca="false">IF($D20="A",0,IF($E20="Benefiz",Annahmen!$B$7,IF($E20="reduziert",Annahmen!$B$6,Annahmen!$B$5)))</f>
        <v>350</v>
      </c>
      <c r="G20" s="22" t="n">
        <v>1</v>
      </c>
      <c r="H20" s="22" t="n">
        <v>1</v>
      </c>
      <c r="I20" s="23" t="n">
        <f aca="false">$F20*$G20</f>
        <v>350</v>
      </c>
      <c r="J20" s="23" t="n">
        <f aca="false">$F20*$H20</f>
        <v>350</v>
      </c>
      <c r="K20" s="24"/>
    </row>
    <row r="21" customFormat="false" ht="15" hidden="false" customHeight="false" outlineLevel="0" collapsed="false">
      <c r="A21" s="19" t="n">
        <v>46151</v>
      </c>
      <c r="B21" s="5" t="s">
        <v>79</v>
      </c>
      <c r="C21" s="5" t="s">
        <v>80</v>
      </c>
      <c r="D21" s="20" t="s">
        <v>81</v>
      </c>
      <c r="E21" s="5" t="s">
        <v>68</v>
      </c>
      <c r="F21" s="21" t="n">
        <f aca="false">IF($D21="A",0,IF($E21="Benefiz",Annahmen!$B$7,IF($E21="reduziert",Annahmen!$B$6,Annahmen!$B$5)))</f>
        <v>350</v>
      </c>
      <c r="G21" s="22" t="n">
        <v>1</v>
      </c>
      <c r="H21" s="22" t="n">
        <v>1</v>
      </c>
      <c r="I21" s="23" t="n">
        <f aca="false">$F21*$G21</f>
        <v>350</v>
      </c>
      <c r="J21" s="23" t="n">
        <f aca="false">$F21*$H21</f>
        <v>350</v>
      </c>
      <c r="K21" s="24"/>
    </row>
    <row r="22" customFormat="false" ht="15" hidden="false" customHeight="false" outlineLevel="0" collapsed="false">
      <c r="A22" s="19" t="n">
        <v>46152</v>
      </c>
      <c r="B22" s="5" t="s">
        <v>79</v>
      </c>
      <c r="C22" s="5" t="s">
        <v>80</v>
      </c>
      <c r="D22" s="20" t="s">
        <v>81</v>
      </c>
      <c r="E22" s="5" t="s">
        <v>68</v>
      </c>
      <c r="F22" s="21" t="n">
        <f aca="false">IF($D22="A",0,IF($E22="Benefiz",Annahmen!$B$7,IF($E22="reduziert",Annahmen!$B$6,Annahmen!$B$5)))</f>
        <v>350</v>
      </c>
      <c r="G22" s="22" t="n">
        <v>1</v>
      </c>
      <c r="H22" s="22" t="n">
        <v>1</v>
      </c>
      <c r="I22" s="23" t="n">
        <f aca="false">$F22*$G22</f>
        <v>350</v>
      </c>
      <c r="J22" s="23" t="n">
        <f aca="false">$F22*$H22</f>
        <v>350</v>
      </c>
      <c r="K22" s="24"/>
    </row>
    <row r="23" customFormat="false" ht="15" hidden="false" customHeight="false" outlineLevel="0" collapsed="false">
      <c r="A23" s="19" t="n">
        <v>46155</v>
      </c>
      <c r="B23" s="5" t="s">
        <v>83</v>
      </c>
      <c r="C23" s="5"/>
      <c r="D23" s="20" t="s">
        <v>67</v>
      </c>
      <c r="E23" s="5" t="s">
        <v>71</v>
      </c>
      <c r="F23" s="21" t="n">
        <f aca="false">IF($D23="A",0,IF($E23="Benefiz",Annahmen!$B$7,IF($E23="reduziert",Annahmen!$B$6,Annahmen!$B$5)))</f>
        <v>500</v>
      </c>
      <c r="G23" s="22" t="n">
        <v>1</v>
      </c>
      <c r="H23" s="22" t="n">
        <v>1</v>
      </c>
      <c r="I23" s="23" t="n">
        <f aca="false">$F23*$G23</f>
        <v>500</v>
      </c>
      <c r="J23" s="23" t="n">
        <f aca="false">$F23*$H23</f>
        <v>500</v>
      </c>
      <c r="K23" s="24"/>
    </row>
    <row r="24" customFormat="false" ht="15" hidden="false" customHeight="false" outlineLevel="0" collapsed="false">
      <c r="A24" s="19" t="n">
        <v>46185</v>
      </c>
      <c r="B24" s="5" t="s">
        <v>84</v>
      </c>
      <c r="C24" s="5"/>
      <c r="D24" s="20" t="s">
        <v>67</v>
      </c>
      <c r="E24" s="5" t="s">
        <v>71</v>
      </c>
      <c r="F24" s="21" t="n">
        <f aca="false">IF($D24="A",0,IF($E24="Benefiz",Annahmen!$B$7,IF($E24="reduziert",Annahmen!$B$6,Annahmen!$B$5)))</f>
        <v>500</v>
      </c>
      <c r="G24" s="22" t="n">
        <v>1</v>
      </c>
      <c r="H24" s="22" t="n">
        <v>1</v>
      </c>
      <c r="I24" s="23" t="n">
        <f aca="false">$F24*$G24</f>
        <v>500</v>
      </c>
      <c r="J24" s="23" t="n">
        <f aca="false">$F24*$H24</f>
        <v>500</v>
      </c>
      <c r="K24" s="24"/>
    </row>
    <row r="25" customFormat="false" ht="15" hidden="false" customHeight="false" outlineLevel="0" collapsed="false">
      <c r="A25" s="19" t="n">
        <v>46206</v>
      </c>
      <c r="B25" s="5" t="s">
        <v>85</v>
      </c>
      <c r="C25" s="5"/>
      <c r="D25" s="20" t="s">
        <v>67</v>
      </c>
      <c r="E25" s="5" t="s">
        <v>71</v>
      </c>
      <c r="F25" s="21" t="n">
        <f aca="false">IF($D25="A",0,IF($E25="Benefiz",Annahmen!$B$7,IF($E25="reduziert",Annahmen!$B$6,Annahmen!$B$5)))</f>
        <v>500</v>
      </c>
      <c r="G25" s="22" t="n">
        <v>1</v>
      </c>
      <c r="H25" s="22" t="n">
        <v>1</v>
      </c>
      <c r="I25" s="23" t="n">
        <f aca="false">$F25*$G25</f>
        <v>500</v>
      </c>
      <c r="J25" s="23" t="n">
        <f aca="false">$F25*$H25</f>
        <v>500</v>
      </c>
      <c r="K25" s="24"/>
    </row>
    <row r="26" customFormat="false" ht="15" hidden="false" customHeight="false" outlineLevel="0" collapsed="false">
      <c r="A26" s="19" t="n">
        <v>46213</v>
      </c>
      <c r="B26" s="5" t="s">
        <v>86</v>
      </c>
      <c r="C26" s="5"/>
      <c r="D26" s="20" t="s">
        <v>67</v>
      </c>
      <c r="E26" s="5" t="s">
        <v>71</v>
      </c>
      <c r="F26" s="21" t="n">
        <f aca="false">IF($D26="A",0,IF($E26="Benefiz",Annahmen!$B$7,IF($E26="reduziert",Annahmen!$B$6,Annahmen!$B$5)))</f>
        <v>500</v>
      </c>
      <c r="G26" s="22" t="n">
        <v>1</v>
      </c>
      <c r="H26" s="22" t="n">
        <v>1</v>
      </c>
      <c r="I26" s="23" t="n">
        <f aca="false">$F26*$G26</f>
        <v>500</v>
      </c>
      <c r="J26" s="23" t="n">
        <f aca="false">$F26*$H26</f>
        <v>500</v>
      </c>
      <c r="K26" s="24"/>
    </row>
    <row r="27" customFormat="false" ht="15" hidden="false" customHeight="false" outlineLevel="0" collapsed="false">
      <c r="A27" s="19" t="n">
        <v>46214</v>
      </c>
      <c r="B27" s="5" t="s">
        <v>87</v>
      </c>
      <c r="C27" s="5"/>
      <c r="D27" s="20" t="s">
        <v>67</v>
      </c>
      <c r="E27" s="5" t="s">
        <v>71</v>
      </c>
      <c r="F27" s="21" t="n">
        <f aca="false">IF($D27="A",0,IF($E27="Benefiz",Annahmen!$B$7,IF($E27="reduziert",Annahmen!$B$6,Annahmen!$B$5)))</f>
        <v>500</v>
      </c>
      <c r="G27" s="22" t="n">
        <v>1</v>
      </c>
      <c r="H27" s="22" t="n">
        <v>1</v>
      </c>
      <c r="I27" s="23" t="n">
        <f aca="false">$F27*$G27</f>
        <v>500</v>
      </c>
      <c r="J27" s="23" t="n">
        <f aca="false">$F27*$H27</f>
        <v>500</v>
      </c>
      <c r="K27" s="24"/>
    </row>
    <row r="28" customFormat="false" ht="15" hidden="false" customHeight="false" outlineLevel="0" collapsed="false">
      <c r="A28" s="19" t="n">
        <v>46221</v>
      </c>
      <c r="B28" s="5" t="s">
        <v>88</v>
      </c>
      <c r="C28" s="5" t="s">
        <v>89</v>
      </c>
      <c r="D28" s="20" t="s">
        <v>67</v>
      </c>
      <c r="E28" s="5" t="s">
        <v>71</v>
      </c>
      <c r="F28" s="21" t="n">
        <f aca="false">IF($D28="A",0,IF($E28="Benefiz",Annahmen!$B$7,IF($E28="reduziert",Annahmen!$B$6,Annahmen!$B$5)))</f>
        <v>500</v>
      </c>
      <c r="G28" s="22" t="n">
        <v>1</v>
      </c>
      <c r="H28" s="22" t="n">
        <v>1</v>
      </c>
      <c r="I28" s="23" t="n">
        <f aca="false">$F28*$G28</f>
        <v>500</v>
      </c>
      <c r="J28" s="23" t="n">
        <f aca="false">$F28*$H28</f>
        <v>500</v>
      </c>
      <c r="K28" s="24"/>
    </row>
    <row r="29" customFormat="false" ht="15" hidden="false" customHeight="false" outlineLevel="0" collapsed="false">
      <c r="A29" s="19" t="n">
        <v>46225</v>
      </c>
      <c r="B29" s="5" t="s">
        <v>90</v>
      </c>
      <c r="C29" s="5" t="s">
        <v>91</v>
      </c>
      <c r="D29" s="20" t="s">
        <v>67</v>
      </c>
      <c r="E29" s="5" t="s">
        <v>71</v>
      </c>
      <c r="F29" s="21" t="n">
        <f aca="false">IF($D29="A",0,IF($E29="Benefiz",Annahmen!$B$7,IF($E29="reduziert",Annahmen!$B$6,Annahmen!$B$5)))</f>
        <v>500</v>
      </c>
      <c r="G29" s="22" t="n">
        <v>1</v>
      </c>
      <c r="H29" s="22" t="n">
        <v>1</v>
      </c>
      <c r="I29" s="23" t="n">
        <f aca="false">$F29*$G29</f>
        <v>500</v>
      </c>
      <c r="J29" s="23" t="n">
        <f aca="false">$F29*$H29</f>
        <v>500</v>
      </c>
      <c r="K29" s="24"/>
    </row>
    <row r="30" customFormat="false" ht="15" hidden="false" customHeight="false" outlineLevel="0" collapsed="false">
      <c r="A30" s="19" t="n">
        <v>46235</v>
      </c>
      <c r="B30" s="5" t="s">
        <v>92</v>
      </c>
      <c r="C30" s="5" t="s">
        <v>93</v>
      </c>
      <c r="D30" s="20" t="s">
        <v>67</v>
      </c>
      <c r="E30" s="5" t="s">
        <v>71</v>
      </c>
      <c r="F30" s="21" t="n">
        <f aca="false">IF($D30="A",0,IF($E30="Benefiz",Annahmen!$B$7,IF($E30="reduziert",Annahmen!$B$6,Annahmen!$B$5)))</f>
        <v>500</v>
      </c>
      <c r="G30" s="22" t="n">
        <v>1</v>
      </c>
      <c r="H30" s="22" t="n">
        <v>1</v>
      </c>
      <c r="I30" s="23" t="n">
        <f aca="false">$F30*$G30</f>
        <v>500</v>
      </c>
      <c r="J30" s="23" t="n">
        <f aca="false">$F30*$H30</f>
        <v>500</v>
      </c>
      <c r="K30" s="24"/>
    </row>
    <row r="31" customFormat="false" ht="15" hidden="false" customHeight="false" outlineLevel="0" collapsed="false">
      <c r="A31" s="19" t="n">
        <v>46256</v>
      </c>
      <c r="B31" s="5" t="s">
        <v>94</v>
      </c>
      <c r="C31" s="5" t="s">
        <v>95</v>
      </c>
      <c r="D31" s="20" t="s">
        <v>67</v>
      </c>
      <c r="E31" s="5" t="s">
        <v>71</v>
      </c>
      <c r="F31" s="21" t="n">
        <f aca="false">IF($D31="A",0,IF($E31="Benefiz",Annahmen!$B$7,IF($E31="reduziert",Annahmen!$B$6,Annahmen!$B$5)))</f>
        <v>500</v>
      </c>
      <c r="G31" s="22" t="n">
        <v>0</v>
      </c>
      <c r="H31" s="22" t="n">
        <v>1</v>
      </c>
      <c r="I31" s="23" t="n">
        <f aca="false">$F31*$G31</f>
        <v>0</v>
      </c>
      <c r="J31" s="23" t="n">
        <f aca="false">$F31*$H31</f>
        <v>500</v>
      </c>
      <c r="K31" s="24" t="s">
        <v>96</v>
      </c>
    </row>
    <row r="32" customFormat="false" ht="15" hidden="false" customHeight="false" outlineLevel="0" collapsed="false">
      <c r="A32" s="19" t="n">
        <v>46277</v>
      </c>
      <c r="B32" s="5" t="s">
        <v>97</v>
      </c>
      <c r="C32" s="5" t="s">
        <v>98</v>
      </c>
      <c r="D32" s="20" t="s">
        <v>67</v>
      </c>
      <c r="E32" s="5" t="s">
        <v>71</v>
      </c>
      <c r="F32" s="21" t="n">
        <f aca="false">IF($D32="A",0,IF($E32="Benefiz",Annahmen!$B$7,IF($E32="reduziert",Annahmen!$B$6,Annahmen!$B$5)))</f>
        <v>500</v>
      </c>
      <c r="G32" s="22" t="n">
        <v>0</v>
      </c>
      <c r="H32" s="22" t="n">
        <v>1</v>
      </c>
      <c r="I32" s="23" t="n">
        <f aca="false">$F32*$G32</f>
        <v>0</v>
      </c>
      <c r="J32" s="23" t="n">
        <f aca="false">$F32*$H32</f>
        <v>500</v>
      </c>
      <c r="K32" s="24" t="s">
        <v>96</v>
      </c>
    </row>
    <row r="33" customFormat="false" ht="15" hidden="false" customHeight="false" outlineLevel="0" collapsed="false">
      <c r="A33" s="19" t="n">
        <v>46278</v>
      </c>
      <c r="B33" s="5" t="s">
        <v>97</v>
      </c>
      <c r="C33" s="5" t="s">
        <v>98</v>
      </c>
      <c r="D33" s="20" t="s">
        <v>67</v>
      </c>
      <c r="E33" s="5" t="s">
        <v>71</v>
      </c>
      <c r="F33" s="21" t="n">
        <f aca="false">IF($D33="A",0,IF($E33="Benefiz",Annahmen!$B$7,IF($E33="reduziert",Annahmen!$B$6,Annahmen!$B$5)))</f>
        <v>500</v>
      </c>
      <c r="G33" s="22" t="n">
        <v>0</v>
      </c>
      <c r="H33" s="22" t="n">
        <v>1</v>
      </c>
      <c r="I33" s="23" t="n">
        <f aca="false">$F33*$G33</f>
        <v>0</v>
      </c>
      <c r="J33" s="23" t="n">
        <f aca="false">$F33*$H33</f>
        <v>500</v>
      </c>
      <c r="K33" s="24" t="s">
        <v>96</v>
      </c>
    </row>
    <row r="34" customFormat="false" ht="15" hidden="false" customHeight="false" outlineLevel="0" collapsed="false">
      <c r="A34" s="19" t="n">
        <v>46283</v>
      </c>
      <c r="B34" s="5" t="s">
        <v>99</v>
      </c>
      <c r="C34" s="5"/>
      <c r="D34" s="20" t="s">
        <v>67</v>
      </c>
      <c r="E34" s="5" t="s">
        <v>71</v>
      </c>
      <c r="F34" s="21" t="n">
        <f aca="false">IF($D34="A",0,IF($E34="Benefiz",Annahmen!$B$7,IF($E34="reduziert",Annahmen!$B$6,Annahmen!$B$5)))</f>
        <v>500</v>
      </c>
      <c r="G34" s="22" t="n">
        <v>1</v>
      </c>
      <c r="H34" s="22" t="n">
        <v>1</v>
      </c>
      <c r="I34" s="23" t="n">
        <f aca="false">$F34*$G34</f>
        <v>500</v>
      </c>
      <c r="J34" s="23" t="n">
        <f aca="false">$F34*$H34</f>
        <v>500</v>
      </c>
      <c r="K34" s="24"/>
    </row>
    <row r="35" customFormat="false" ht="15" hidden="false" customHeight="false" outlineLevel="0" collapsed="false">
      <c r="A35" s="19" t="n">
        <v>46284</v>
      </c>
      <c r="B35" s="5" t="s">
        <v>99</v>
      </c>
      <c r="C35" s="5"/>
      <c r="D35" s="20" t="s">
        <v>67</v>
      </c>
      <c r="E35" s="5" t="s">
        <v>71</v>
      </c>
      <c r="F35" s="21" t="n">
        <f aca="false">IF($D35="A",0,IF($E35="Benefiz",Annahmen!$B$7,IF($E35="reduziert",Annahmen!$B$6,Annahmen!$B$5)))</f>
        <v>500</v>
      </c>
      <c r="G35" s="22" t="n">
        <v>1</v>
      </c>
      <c r="H35" s="22" t="n">
        <v>1</v>
      </c>
      <c r="I35" s="23" t="n">
        <f aca="false">$F35*$G35</f>
        <v>500</v>
      </c>
      <c r="J35" s="23" t="n">
        <f aca="false">$F35*$H35</f>
        <v>500</v>
      </c>
      <c r="K35" s="24"/>
    </row>
    <row r="36" customFormat="false" ht="15" hidden="false" customHeight="false" outlineLevel="0" collapsed="false">
      <c r="A36" s="19" t="n">
        <v>46289</v>
      </c>
      <c r="B36" s="5" t="s">
        <v>100</v>
      </c>
      <c r="C36" s="5"/>
      <c r="D36" s="20" t="s">
        <v>81</v>
      </c>
      <c r="E36" s="5" t="s">
        <v>71</v>
      </c>
      <c r="F36" s="21" t="n">
        <f aca="false">IF($D36="A",0,IF($E36="Benefiz",Annahmen!$B$7,IF($E36="reduziert",Annahmen!$B$6,Annahmen!$B$5)))</f>
        <v>500</v>
      </c>
      <c r="G36" s="22" t="n">
        <v>1</v>
      </c>
      <c r="H36" s="22" t="n">
        <v>1</v>
      </c>
      <c r="I36" s="23" t="n">
        <f aca="false">$F36*$G36</f>
        <v>500</v>
      </c>
      <c r="J36" s="23" t="n">
        <f aca="false">$F36*$H36</f>
        <v>500</v>
      </c>
      <c r="K36" s="24"/>
    </row>
    <row r="37" customFormat="false" ht="15" hidden="false" customHeight="false" outlineLevel="0" collapsed="false">
      <c r="A37" s="19" t="n">
        <v>46291</v>
      </c>
      <c r="B37" s="5" t="s">
        <v>101</v>
      </c>
      <c r="C37" s="5" t="s">
        <v>102</v>
      </c>
      <c r="D37" s="20" t="s">
        <v>81</v>
      </c>
      <c r="E37" s="5" t="s">
        <v>68</v>
      </c>
      <c r="F37" s="21" t="n">
        <f aca="false">IF($D37="A",0,IF($E37="Benefiz",Annahmen!$B$7,IF($E37="reduziert",Annahmen!$B$6,Annahmen!$B$5)))</f>
        <v>350</v>
      </c>
      <c r="G37" s="22" t="n">
        <v>1</v>
      </c>
      <c r="H37" s="22" t="n">
        <v>1</v>
      </c>
      <c r="I37" s="23" t="n">
        <f aca="false">$F37*$G37</f>
        <v>350</v>
      </c>
      <c r="J37" s="23" t="n">
        <f aca="false">$F37*$H37</f>
        <v>350</v>
      </c>
      <c r="K37" s="24"/>
    </row>
    <row r="38" customFormat="false" ht="15" hidden="false" customHeight="false" outlineLevel="0" collapsed="false">
      <c r="A38" s="19" t="n">
        <v>46292</v>
      </c>
      <c r="B38" s="5" t="s">
        <v>101</v>
      </c>
      <c r="C38" s="5" t="s">
        <v>102</v>
      </c>
      <c r="D38" s="20" t="s">
        <v>81</v>
      </c>
      <c r="E38" s="5" t="s">
        <v>68</v>
      </c>
      <c r="F38" s="21" t="n">
        <f aca="false">IF($D38="A",0,IF($E38="Benefiz",Annahmen!$B$7,IF($E38="reduziert",Annahmen!$B$6,Annahmen!$B$5)))</f>
        <v>350</v>
      </c>
      <c r="G38" s="22" t="n">
        <v>1</v>
      </c>
      <c r="H38" s="22" t="n">
        <v>1</v>
      </c>
      <c r="I38" s="23" t="n">
        <f aca="false">$F38*$G38</f>
        <v>350</v>
      </c>
      <c r="J38" s="23" t="n">
        <f aca="false">$F38*$H38</f>
        <v>350</v>
      </c>
      <c r="K38" s="24"/>
    </row>
    <row r="39" customFormat="false" ht="15" hidden="false" customHeight="false" outlineLevel="0" collapsed="false">
      <c r="A39" s="19" t="n">
        <v>46296</v>
      </c>
      <c r="B39" s="5" t="s">
        <v>101</v>
      </c>
      <c r="C39" s="5" t="s">
        <v>102</v>
      </c>
      <c r="D39" s="20" t="s">
        <v>81</v>
      </c>
      <c r="E39" s="5" t="s">
        <v>68</v>
      </c>
      <c r="F39" s="21" t="n">
        <f aca="false">IF($D39="A",0,IF($E39="Benefiz",Annahmen!$B$7,IF($E39="reduziert",Annahmen!$B$6,Annahmen!$B$5)))</f>
        <v>350</v>
      </c>
      <c r="G39" s="22" t="n">
        <v>1</v>
      </c>
      <c r="H39" s="22" t="n">
        <v>1</v>
      </c>
      <c r="I39" s="23" t="n">
        <f aca="false">$F39*$G39</f>
        <v>350</v>
      </c>
      <c r="J39" s="23" t="n">
        <f aca="false">$F39*$H39</f>
        <v>350</v>
      </c>
      <c r="K39" s="24"/>
    </row>
    <row r="40" customFormat="false" ht="15" hidden="false" customHeight="false" outlineLevel="0" collapsed="false">
      <c r="A40" s="19" t="n">
        <v>46297</v>
      </c>
      <c r="B40" s="5" t="s">
        <v>103</v>
      </c>
      <c r="C40" s="5"/>
      <c r="D40" s="20" t="s">
        <v>81</v>
      </c>
      <c r="E40" s="5" t="s">
        <v>71</v>
      </c>
      <c r="F40" s="21" t="n">
        <f aca="false">IF($D40="A",0,IF($E40="Benefiz",Annahmen!$B$7,IF($E40="reduziert",Annahmen!$B$6,Annahmen!$B$5)))</f>
        <v>500</v>
      </c>
      <c r="G40" s="22" t="n">
        <v>1</v>
      </c>
      <c r="H40" s="22" t="n">
        <v>1</v>
      </c>
      <c r="I40" s="23" t="n">
        <f aca="false">$F40*$G40</f>
        <v>500</v>
      </c>
      <c r="J40" s="23" t="n">
        <f aca="false">$F40*$H40</f>
        <v>500</v>
      </c>
      <c r="K40" s="24"/>
    </row>
    <row r="41" customFormat="false" ht="15" hidden="false" customHeight="false" outlineLevel="0" collapsed="false">
      <c r="A41" s="19" t="n">
        <v>46298</v>
      </c>
      <c r="B41" s="5" t="s">
        <v>103</v>
      </c>
      <c r="C41" s="5"/>
      <c r="D41" s="20" t="s">
        <v>81</v>
      </c>
      <c r="E41" s="5" t="s">
        <v>71</v>
      </c>
      <c r="F41" s="21" t="n">
        <f aca="false">IF($D41="A",0,IF($E41="Benefiz",Annahmen!$B$7,IF($E41="reduziert",Annahmen!$B$6,Annahmen!$B$5)))</f>
        <v>500</v>
      </c>
      <c r="G41" s="22" t="n">
        <v>1</v>
      </c>
      <c r="H41" s="22" t="n">
        <v>1</v>
      </c>
      <c r="I41" s="23" t="n">
        <f aca="false">$F41*$G41</f>
        <v>500</v>
      </c>
      <c r="J41" s="23" t="n">
        <f aca="false">$F41*$H41</f>
        <v>500</v>
      </c>
      <c r="K41" s="24"/>
    </row>
    <row r="42" customFormat="false" ht="15" hidden="false" customHeight="false" outlineLevel="0" collapsed="false">
      <c r="A42" s="19" t="n">
        <v>46306</v>
      </c>
      <c r="B42" s="5" t="s">
        <v>101</v>
      </c>
      <c r="C42" s="5" t="s">
        <v>102</v>
      </c>
      <c r="D42" s="20" t="s">
        <v>81</v>
      </c>
      <c r="E42" s="5" t="s">
        <v>68</v>
      </c>
      <c r="F42" s="21" t="n">
        <f aca="false">IF($D42="A",0,IF($E42="Benefiz",Annahmen!$B$7,IF($E42="reduziert",Annahmen!$B$6,Annahmen!$B$5)))</f>
        <v>350</v>
      </c>
      <c r="G42" s="22" t="n">
        <v>1</v>
      </c>
      <c r="H42" s="22" t="n">
        <v>1</v>
      </c>
      <c r="I42" s="23" t="n">
        <f aca="false">$F42*$G42</f>
        <v>350</v>
      </c>
      <c r="J42" s="23" t="n">
        <f aca="false">$F42*$H42</f>
        <v>350</v>
      </c>
      <c r="K42" s="24"/>
    </row>
    <row r="43" customFormat="false" ht="15" hidden="false" customHeight="false" outlineLevel="0" collapsed="false">
      <c r="A43" s="19" t="n">
        <v>46311</v>
      </c>
      <c r="B43" s="5" t="s">
        <v>104</v>
      </c>
      <c r="C43" s="5"/>
      <c r="D43" s="20" t="s">
        <v>81</v>
      </c>
      <c r="E43" s="5" t="s">
        <v>71</v>
      </c>
      <c r="F43" s="21" t="n">
        <f aca="false">IF($D43="A",0,IF($E43="Benefiz",Annahmen!$B$7,IF($E43="reduziert",Annahmen!$B$6,Annahmen!$B$5)))</f>
        <v>500</v>
      </c>
      <c r="G43" s="22" t="n">
        <v>1</v>
      </c>
      <c r="H43" s="22" t="n">
        <v>1</v>
      </c>
      <c r="I43" s="23" t="n">
        <f aca="false">$F43*$G43</f>
        <v>500</v>
      </c>
      <c r="J43" s="23" t="n">
        <f aca="false">$F43*$H43</f>
        <v>500</v>
      </c>
      <c r="K43" s="24"/>
    </row>
    <row r="44" customFormat="false" ht="15" hidden="false" customHeight="false" outlineLevel="0" collapsed="false">
      <c r="A44" s="19" t="n">
        <v>46312</v>
      </c>
      <c r="B44" s="5" t="s">
        <v>104</v>
      </c>
      <c r="C44" s="5"/>
      <c r="D44" s="20" t="s">
        <v>81</v>
      </c>
      <c r="E44" s="5" t="s">
        <v>71</v>
      </c>
      <c r="F44" s="21" t="n">
        <f aca="false">IF($D44="A",0,IF($E44="Benefiz",Annahmen!$B$7,IF($E44="reduziert",Annahmen!$B$6,Annahmen!$B$5)))</f>
        <v>500</v>
      </c>
      <c r="G44" s="22" t="n">
        <v>1</v>
      </c>
      <c r="H44" s="22" t="n">
        <v>1</v>
      </c>
      <c r="I44" s="23" t="n">
        <f aca="false">$F44*$G44</f>
        <v>500</v>
      </c>
      <c r="J44" s="23" t="n">
        <f aca="false">$F44*$H44</f>
        <v>500</v>
      </c>
      <c r="K44" s="24"/>
    </row>
    <row r="45" customFormat="false" ht="15" hidden="false" customHeight="false" outlineLevel="0" collapsed="false">
      <c r="A45" s="19" t="n">
        <v>46332</v>
      </c>
      <c r="B45" s="5" t="s">
        <v>105</v>
      </c>
      <c r="C45" s="5" t="s">
        <v>106</v>
      </c>
      <c r="D45" s="20" t="s">
        <v>67</v>
      </c>
      <c r="E45" s="5" t="s">
        <v>71</v>
      </c>
      <c r="F45" s="21" t="n">
        <f aca="false">IF($D45="A",0,IF($E45="Benefiz",Annahmen!$B$7,IF($E45="reduziert",Annahmen!$B$6,Annahmen!$B$5)))</f>
        <v>500</v>
      </c>
      <c r="G45" s="22" t="n">
        <v>1</v>
      </c>
      <c r="H45" s="22" t="n">
        <v>1</v>
      </c>
      <c r="I45" s="23" t="n">
        <f aca="false">$F45*$G45</f>
        <v>500</v>
      </c>
      <c r="J45" s="23" t="n">
        <f aca="false">$F45*$H45</f>
        <v>500</v>
      </c>
      <c r="K45" s="24"/>
    </row>
    <row r="46" customFormat="false" ht="15" hidden="false" customHeight="false" outlineLevel="0" collapsed="false">
      <c r="A46" s="19" t="n">
        <v>46333</v>
      </c>
      <c r="B46" s="5" t="s">
        <v>105</v>
      </c>
      <c r="C46" s="5" t="s">
        <v>106</v>
      </c>
      <c r="D46" s="20" t="s">
        <v>67</v>
      </c>
      <c r="E46" s="5" t="s">
        <v>71</v>
      </c>
      <c r="F46" s="21" t="n">
        <f aca="false">IF($D46="A",0,IF($E46="Benefiz",Annahmen!$B$7,IF($E46="reduziert",Annahmen!$B$6,Annahmen!$B$5)))</f>
        <v>500</v>
      </c>
      <c r="G46" s="22" t="n">
        <v>1</v>
      </c>
      <c r="H46" s="22" t="n">
        <v>1</v>
      </c>
      <c r="I46" s="23" t="n">
        <f aca="false">$F46*$G46</f>
        <v>500</v>
      </c>
      <c r="J46" s="23" t="n">
        <f aca="false">$F46*$H46</f>
        <v>500</v>
      </c>
      <c r="K46" s="24"/>
    </row>
    <row r="47" customFormat="false" ht="15" hidden="false" customHeight="false" outlineLevel="0" collapsed="false">
      <c r="A47" s="25" t="n">
        <v>46347</v>
      </c>
      <c r="B47" s="26" t="s">
        <v>107</v>
      </c>
      <c r="C47" s="26"/>
      <c r="D47" s="27" t="s">
        <v>108</v>
      </c>
      <c r="E47" s="26" t="s">
        <v>71</v>
      </c>
      <c r="F47" s="28" t="n">
        <f aca="false">IF($D47="A",0,IF($E47="Benefiz",Annahmen!$B$7,IF($E47="reduziert",Annahmen!$B$6,Annahmen!$B$5)))</f>
        <v>0</v>
      </c>
      <c r="G47" s="29" t="n">
        <v>0</v>
      </c>
      <c r="H47" s="29" t="n">
        <v>0</v>
      </c>
      <c r="I47" s="30" t="n">
        <f aca="false">$F47*$G47</f>
        <v>0</v>
      </c>
      <c r="J47" s="30" t="n">
        <f aca="false">$F47*$H47</f>
        <v>0</v>
      </c>
      <c r="K47" s="31" t="s">
        <v>109</v>
      </c>
    </row>
    <row r="48" customFormat="false" ht="15" hidden="false" customHeight="false" outlineLevel="0" collapsed="false">
      <c r="A48" s="19" t="n">
        <v>46369</v>
      </c>
      <c r="B48" s="5" t="s">
        <v>110</v>
      </c>
      <c r="C48" s="5"/>
      <c r="D48" s="20" t="s">
        <v>81</v>
      </c>
      <c r="E48" s="5" t="s">
        <v>111</v>
      </c>
      <c r="F48" s="21" t="n">
        <f aca="false">IF($D48="A",0,IF($E48="Benefiz",Annahmen!$B$7,IF($E48="reduziert",Annahmen!$B$6,Annahmen!$B$5)))</f>
        <v>0</v>
      </c>
      <c r="G48" s="22" t="n">
        <v>1</v>
      </c>
      <c r="H48" s="22" t="n">
        <v>1</v>
      </c>
      <c r="I48" s="23" t="n">
        <f aca="false">$F48*$G48</f>
        <v>0</v>
      </c>
      <c r="J48" s="23" t="n">
        <f aca="false">$F48*$H48</f>
        <v>0</v>
      </c>
      <c r="K48" s="24" t="s">
        <v>112</v>
      </c>
    </row>
    <row r="49" customFormat="false" ht="15" hidden="false" customHeight="false" outlineLevel="0" collapsed="false">
      <c r="A49" s="32"/>
      <c r="B49" s="33" t="s">
        <v>113</v>
      </c>
      <c r="C49" s="32"/>
      <c r="D49" s="32"/>
      <c r="E49" s="32"/>
      <c r="F49" s="32"/>
      <c r="G49" s="33" t="n">
        <f aca="false">SUM(G5:G48)</f>
        <v>35</v>
      </c>
      <c r="H49" s="33" t="n">
        <f aca="false">SUM(H5:H48)</f>
        <v>35</v>
      </c>
      <c r="I49" s="34" t="n">
        <f aca="false">SUM(I5:I48)</f>
        <v>15200</v>
      </c>
      <c r="J49" s="34" t="n">
        <f aca="false">SUM(J5:J48)</f>
        <v>15200</v>
      </c>
      <c r="K49" s="32"/>
    </row>
    <row r="50" customFormat="false" ht="15" hidden="false" customHeight="false" outlineLevel="0" collapsed="false">
      <c r="B50" s="14" t="s">
        <v>114</v>
      </c>
      <c r="G50" s="14" t="n">
        <f aca="false">SUMIFS(G5:G48,$D$5:$D$48,"F")</f>
        <v>17</v>
      </c>
      <c r="H50" s="14" t="n">
        <f aca="false">SUMIFS(H5:H48,$D$5:$D$48,"F")</f>
        <v>17</v>
      </c>
      <c r="I50" s="35" t="n">
        <f aca="false">SUMIFS(I5:I48,$D$5:$D$48,"F")</f>
        <v>8500</v>
      </c>
      <c r="J50" s="35" t="n">
        <f aca="false">SUMIFS(J5:J48,$D$5:$D$48,"F")</f>
        <v>8500</v>
      </c>
    </row>
    <row r="51" customFormat="false" ht="15" hidden="false" customHeight="false" outlineLevel="0" collapsed="false">
      <c r="B51" s="14" t="s">
        <v>115</v>
      </c>
      <c r="G51" s="14" t="n">
        <f aca="false">SUMIFS(G5:G48,$D$5:$D$48,"M")</f>
        <v>18</v>
      </c>
      <c r="H51" s="14" t="n">
        <f aca="false">SUMIFS(H5:H48,$D$5:$D$48,"M")</f>
        <v>18</v>
      </c>
      <c r="I51" s="35" t="n">
        <f aca="false">SUMIFS(I5:I48,$D$5:$D$48,"M")</f>
        <v>6700</v>
      </c>
      <c r="J51" s="35" t="n">
        <f aca="false">SUMIFS(J5:J48,$D$5:$D$48,"M")</f>
        <v>6700</v>
      </c>
    </row>
    <row r="53" customFormat="false" ht="15" hidden="false" customHeight="false" outlineLevel="0" collapsed="false">
      <c r="B53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3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12" t="s">
        <v>118</v>
      </c>
      <c r="B4" s="13"/>
      <c r="C4" s="13"/>
      <c r="D4" s="13"/>
    </row>
    <row r="5" customFormat="false" ht="15" hidden="false" customHeight="false" outlineLevel="0" collapsed="false">
      <c r="A5" s="14" t="s">
        <v>119</v>
      </c>
      <c r="B5" s="36" t="n">
        <f aca="false">'Auftritte 2026'!$H$49</f>
        <v>35</v>
      </c>
    </row>
    <row r="6" customFormat="false" ht="15" hidden="false" customHeight="false" outlineLevel="0" collapsed="false">
      <c r="A6" s="14" t="s">
        <v>120</v>
      </c>
      <c r="B6" s="37" t="n">
        <f aca="false">'Auftritte 2026'!$J$49</f>
        <v>15200</v>
      </c>
    </row>
    <row r="7" customFormat="false" ht="15" hidden="false" customHeight="false" outlineLevel="0" collapsed="false">
      <c r="A7" s="14" t="s">
        <v>121</v>
      </c>
      <c r="B7" s="38" t="n">
        <v>0</v>
      </c>
    </row>
    <row r="8" customFormat="false" ht="15" hidden="false" customHeight="false" outlineLevel="0" collapsed="false">
      <c r="A8" s="39" t="s">
        <v>122</v>
      </c>
      <c r="B8" s="40" t="n">
        <f aca="false">$B$6+$B$7</f>
        <v>15200</v>
      </c>
    </row>
    <row r="10" customFormat="false" ht="15" hidden="false" customHeight="false" outlineLevel="0" collapsed="false">
      <c r="A10" s="12" t="s">
        <v>123</v>
      </c>
      <c r="B10" s="13"/>
      <c r="C10" s="13"/>
      <c r="D10" s="13"/>
    </row>
    <row r="11" customFormat="false" ht="15" hidden="false" customHeight="false" outlineLevel="0" collapsed="false">
      <c r="A11" s="14" t="s">
        <v>31</v>
      </c>
      <c r="B11" s="41" t="n">
        <f aca="false">Annahmen!$B$16</f>
        <v>1700</v>
      </c>
    </row>
    <row r="12" customFormat="false" ht="15" hidden="false" customHeight="false" outlineLevel="0" collapsed="false">
      <c r="A12" s="14" t="s">
        <v>124</v>
      </c>
      <c r="B12" s="36" t="n">
        <f aca="false">Annahmen!$B$17</f>
        <v>8</v>
      </c>
    </row>
    <row r="13" customFormat="false" ht="15" hidden="false" customHeight="false" outlineLevel="0" collapsed="false">
      <c r="A13" s="14" t="s">
        <v>41</v>
      </c>
      <c r="B13" s="41" t="n">
        <f aca="false">Annahmen!$B$18</f>
        <v>1000</v>
      </c>
    </row>
    <row r="14" customFormat="false" ht="15" hidden="false" customHeight="false" outlineLevel="0" collapsed="false">
      <c r="A14" s="39" t="s">
        <v>9</v>
      </c>
      <c r="B14" s="40" t="n">
        <f aca="false">$B$11*$B$12+$B$13</f>
        <v>14600</v>
      </c>
    </row>
    <row r="16" customFormat="false" ht="15" hidden="false" customHeight="false" outlineLevel="0" collapsed="false">
      <c r="A16" s="12" t="s">
        <v>125</v>
      </c>
      <c r="B16" s="13"/>
      <c r="C16" s="13"/>
      <c r="D16" s="13"/>
    </row>
    <row r="17" customFormat="false" ht="15" hidden="false" customHeight="false" outlineLevel="0" collapsed="false">
      <c r="A17" s="39" t="s">
        <v>126</v>
      </c>
      <c r="B17" s="42" t="n">
        <f aca="false">$B$8-$B$14</f>
        <v>600</v>
      </c>
    </row>
    <row r="18" customFormat="false" ht="15" hidden="false" customHeight="false" outlineLevel="0" collapsed="false">
      <c r="A18" s="14" t="s">
        <v>127</v>
      </c>
      <c r="B18" s="14" t="str">
        <f aca="false">IF($B$17&gt;0,"Nachzahlung an "&amp;"Pascal",IF($B$17&lt;0,"Überzahlung – Rückforderung / Verrechnung","ausgeglichen"))</f>
        <v>Nachzahlung an Pascal</v>
      </c>
    </row>
    <row r="19" customFormat="false" ht="15" hidden="false" customHeight="false" outlineLevel="0" collapsed="false">
      <c r="A19" s="14" t="s">
        <v>11</v>
      </c>
      <c r="B19" s="43" t="n">
        <f aca="false">($B$8-Annahmen!$B$18)/Annahmen!$B$17</f>
        <v>1775</v>
      </c>
    </row>
    <row r="20" customFormat="false" ht="15" hidden="false" customHeight="false" outlineLevel="0" collapsed="false">
      <c r="A20" s="14" t="s">
        <v>128</v>
      </c>
      <c r="B20" s="43" t="n">
        <f aca="false">$B$19-$B$11</f>
        <v>75</v>
      </c>
    </row>
    <row r="22" customFormat="false" ht="15" hidden="false" customHeight="false" outlineLevel="0" collapsed="false">
      <c r="A22" s="12" t="s">
        <v>129</v>
      </c>
      <c r="B22" s="13"/>
      <c r="C22" s="13"/>
      <c r="D22" s="13"/>
    </row>
    <row r="23" customFormat="false" ht="15" hidden="false" customHeight="false" outlineLevel="0" collapsed="false">
      <c r="A23" s="14" t="s">
        <v>130</v>
      </c>
      <c r="B23" s="43" t="n">
        <f aca="false">Annahmen!$B$18+Annahmen!$B$16*5</f>
        <v>9500</v>
      </c>
    </row>
    <row r="24" customFormat="false" ht="15" hidden="false" customHeight="false" outlineLevel="0" collapsed="false">
      <c r="A24" s="14" t="s">
        <v>131</v>
      </c>
      <c r="B24" s="44" t="n">
        <v>3</v>
      </c>
    </row>
    <row r="25" customFormat="false" ht="15" hidden="false" customHeight="false" outlineLevel="0" collapsed="false">
      <c r="A25" s="14" t="s">
        <v>132</v>
      </c>
      <c r="B25" s="38" t="n">
        <f aca="false">$B$8-$B$23</f>
        <v>5700</v>
      </c>
    </row>
    <row r="26" customFormat="false" ht="15" hidden="false" customHeight="false" outlineLevel="0" collapsed="false">
      <c r="A26" s="39" t="s">
        <v>133</v>
      </c>
      <c r="B26" s="40" t="n">
        <f aca="false">IF($B$24=0,0,$B$25/$B$24)</f>
        <v>1900</v>
      </c>
    </row>
    <row r="27" customFormat="false" ht="15" hidden="false" customHeight="false" outlineLevel="0" collapsed="false">
      <c r="A27" s="14" t="s">
        <v>134</v>
      </c>
      <c r="B27" s="38" t="n">
        <f aca="false">$B$26-$B$11</f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12" t="s">
        <v>118</v>
      </c>
      <c r="B4" s="13"/>
      <c r="C4" s="13"/>
      <c r="D4" s="13"/>
    </row>
    <row r="5" customFormat="false" ht="15" hidden="false" customHeight="false" outlineLevel="0" collapsed="false">
      <c r="A5" s="14" t="s">
        <v>119</v>
      </c>
      <c r="B5" s="36" t="n">
        <f aca="false">'Auftritte 2026'!$G$49</f>
        <v>35</v>
      </c>
    </row>
    <row r="6" customFormat="false" ht="15" hidden="false" customHeight="false" outlineLevel="0" collapsed="false">
      <c r="A6" s="14" t="s">
        <v>120</v>
      </c>
      <c r="B6" s="37" t="n">
        <f aca="false">'Auftritte 2026'!$I$49</f>
        <v>15200</v>
      </c>
    </row>
    <row r="7" customFormat="false" ht="15" hidden="false" customHeight="false" outlineLevel="0" collapsed="false">
      <c r="A7" s="14" t="s">
        <v>121</v>
      </c>
      <c r="B7" s="38" t="n">
        <f aca="false">$B$6*Annahmen!$B$12</f>
        <v>1064</v>
      </c>
    </row>
    <row r="8" customFormat="false" ht="15" hidden="false" customHeight="false" outlineLevel="0" collapsed="false">
      <c r="A8" s="39" t="s">
        <v>122</v>
      </c>
      <c r="B8" s="40" t="n">
        <f aca="false">$B$6+$B$7</f>
        <v>16264</v>
      </c>
    </row>
    <row r="10" customFormat="false" ht="15" hidden="false" customHeight="false" outlineLevel="0" collapsed="false">
      <c r="A10" s="12" t="s">
        <v>123</v>
      </c>
      <c r="B10" s="13"/>
      <c r="C10" s="13"/>
      <c r="D10" s="13"/>
    </row>
    <row r="11" customFormat="false" ht="15" hidden="false" customHeight="false" outlineLevel="0" collapsed="false">
      <c r="A11" s="14" t="s">
        <v>31</v>
      </c>
      <c r="B11" s="41" t="n">
        <f aca="false">Annahmen!$B$10</f>
        <v>1800</v>
      </c>
    </row>
    <row r="12" customFormat="false" ht="15" hidden="false" customHeight="false" outlineLevel="0" collapsed="false">
      <c r="A12" s="14" t="s">
        <v>124</v>
      </c>
      <c r="B12" s="36" t="n">
        <f aca="false">Annahmen!$B$11</f>
        <v>12</v>
      </c>
    </row>
    <row r="13" customFormat="false" ht="15" hidden="false" customHeight="false" outlineLevel="0" collapsed="false">
      <c r="A13" s="39" t="s">
        <v>9</v>
      </c>
      <c r="B13" s="40" t="n">
        <f aca="false">$B$11*$B$12</f>
        <v>21600</v>
      </c>
    </row>
    <row r="15" customFormat="false" ht="15" hidden="false" customHeight="false" outlineLevel="0" collapsed="false">
      <c r="A15" s="12" t="s">
        <v>125</v>
      </c>
      <c r="B15" s="13"/>
      <c r="C15" s="13"/>
      <c r="D15" s="13"/>
    </row>
    <row r="16" customFormat="false" ht="15" hidden="false" customHeight="false" outlineLevel="0" collapsed="false">
      <c r="A16" s="39" t="s">
        <v>126</v>
      </c>
      <c r="B16" s="42" t="n">
        <f aca="false">$B$8-$B$13</f>
        <v>-5336</v>
      </c>
    </row>
    <row r="17" customFormat="false" ht="15" hidden="false" customHeight="false" outlineLevel="0" collapsed="false">
      <c r="A17" s="14" t="s">
        <v>127</v>
      </c>
      <c r="B17" s="14" t="str">
        <f aca="false">IF($B$16&gt;0,"Nachzahlung an "&amp;"Theo",IF($B$16&lt;0,"Überzahlung – Rückforderung / Verrechnung","ausgeglichen"))</f>
        <v>Überzahlung – Rückforderung / Verrechnung</v>
      </c>
    </row>
    <row r="18" customFormat="false" ht="15" hidden="false" customHeight="false" outlineLevel="0" collapsed="false">
      <c r="A18" s="14" t="s">
        <v>11</v>
      </c>
      <c r="B18" s="43" t="n">
        <f aca="false">($B$8)/Annahmen!$B$11</f>
        <v>1355.33333333333</v>
      </c>
    </row>
    <row r="19" customFormat="false" ht="15" hidden="false" customHeight="false" outlineLevel="0" collapsed="false">
      <c r="A19" s="14" t="s">
        <v>128</v>
      </c>
      <c r="B19" s="43" t="n">
        <f aca="false">$B$18-$B$11</f>
        <v>-444.666666666667</v>
      </c>
    </row>
    <row r="21" customFormat="false" ht="15" hidden="false" customHeight="false" outlineLevel="0" collapsed="false">
      <c r="A21" s="12" t="s">
        <v>129</v>
      </c>
      <c r="B21" s="13"/>
      <c r="C21" s="13"/>
      <c r="D21" s="13"/>
    </row>
    <row r="22" customFormat="false" ht="15" hidden="false" customHeight="false" outlineLevel="0" collapsed="false">
      <c r="A22" s="14" t="s">
        <v>136</v>
      </c>
      <c r="B22" s="43" t="n">
        <f aca="false">Annahmen!$B$10*9</f>
        <v>16200</v>
      </c>
    </row>
    <row r="23" customFormat="false" ht="15" hidden="false" customHeight="false" outlineLevel="0" collapsed="false">
      <c r="A23" s="14" t="s">
        <v>131</v>
      </c>
      <c r="B23" s="44" t="n">
        <v>3</v>
      </c>
    </row>
    <row r="24" customFormat="false" ht="15" hidden="false" customHeight="false" outlineLevel="0" collapsed="false">
      <c r="A24" s="14" t="s">
        <v>132</v>
      </c>
      <c r="B24" s="38" t="n">
        <f aca="false">$B$8-$B$22</f>
        <v>64</v>
      </c>
    </row>
    <row r="25" customFormat="false" ht="15" hidden="false" customHeight="false" outlineLevel="0" collapsed="false">
      <c r="A25" s="39" t="s">
        <v>133</v>
      </c>
      <c r="B25" s="40" t="n">
        <f aca="false">IF($B$23=0,0,$B$24/$B$23)</f>
        <v>21.3333333333333</v>
      </c>
    </row>
    <row r="26" customFormat="false" ht="15" hidden="false" customHeight="false" outlineLevel="0" collapsed="false">
      <c r="A26" s="14" t="s">
        <v>134</v>
      </c>
      <c r="B26" s="38" t="n">
        <f aca="false">$B$25-$B$11</f>
        <v>-1778.66666666667</v>
      </c>
    </row>
    <row r="28" customFormat="false" ht="15" hidden="false" customHeight="false" outlineLevel="0" collapsed="false">
      <c r="A28" s="12" t="s">
        <v>137</v>
      </c>
      <c r="B28" s="13"/>
      <c r="C28" s="13"/>
      <c r="D28" s="13"/>
    </row>
    <row r="29" customFormat="false" ht="15" hidden="false" customHeight="false" outlineLevel="0" collapsed="false">
      <c r="A29" s="14" t="s">
        <v>138</v>
      </c>
      <c r="B29" s="38" t="n">
        <f aca="false">$B$6</f>
        <v>15200</v>
      </c>
    </row>
    <row r="30" customFormat="false" ht="15" hidden="false" customHeight="false" outlineLevel="0" collapsed="false">
      <c r="A30" s="14" t="s">
        <v>139</v>
      </c>
      <c r="B30" s="38" t="n">
        <f aca="false">$B$29-$B$29/(1+Annahmen!$B$12)</f>
        <v>994.392523364488</v>
      </c>
    </row>
    <row r="31" customFormat="false" ht="15" hidden="false" customHeight="false" outlineLevel="0" collapsed="false">
      <c r="A31" s="39" t="s">
        <v>140</v>
      </c>
      <c r="B31" s="40" t="n">
        <f aca="false">$B$29-$B$13</f>
        <v>-6400</v>
      </c>
    </row>
    <row r="32" customFormat="false" ht="15" hidden="false" customHeight="false" outlineLevel="0" collapsed="false">
      <c r="A32" s="2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2026-08-31T09:00:51Z</dcterms:created>
  <dc:creator>openpyxl</dc:creator>
  <dc:description/>
  <dc:language>en-US</dc:language>
  <cp:lastModifiedBy/>
  <dcterms:modified xsi:type="dcterms:W3CDTF">2026-08-31T09:00:51Z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