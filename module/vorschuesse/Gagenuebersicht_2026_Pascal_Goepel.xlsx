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genübersich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;-#,##0.00 &quot;€&quot;;0,00 &quot;€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165" fontId="4" fillId="0" borderId="1" pivotButton="0" quotePrefix="0" xfId="0"/>
    <xf numFmtId="0" fontId="4" fillId="0" borderId="1" pivotButton="0" quotePrefix="0" xfId="0"/>
    <xf numFmtId="166" fontId="4" fillId="0" borderId="1" pivotButton="0" quotePrefix="0" xfId="0"/>
    <xf numFmtId="0" fontId="0" fillId="3" borderId="1" pivotButton="0" quotePrefix="0" xfId="0"/>
    <xf numFmtId="0" fontId="5" fillId="3" borderId="1" pivotButton="0" quotePrefix="0" xfId="0"/>
    <xf numFmtId="166" fontId="5" fillId="3" borderId="1" pivotButton="0" quotePrefix="0" xfId="0"/>
    <xf numFmtId="0" fontId="5" fillId="3" borderId="0" pivotButton="0" quotePrefix="0" xfId="0"/>
    <xf numFmtId="0" fontId="0" fillId="0" borderId="1" pivotButton="0" quotePrefix="0" xfId="0"/>
    <xf numFmtId="166" fontId="0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166" fontId="6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40" customWidth="1" min="3" max="3"/>
    <col width="32" customWidth="1" min="4" max="4"/>
    <col width="15" customWidth="1" min="5" max="5"/>
  </cols>
  <sheetData>
    <row r="1">
      <c r="A1" s="1" t="inlineStr">
        <is>
          <t>Gagenübersicht 2026 – Pascal Göpel</t>
        </is>
      </c>
    </row>
    <row r="2">
      <c r="A2" s="2" t="inlineStr">
        <is>
          <t>Hofbräu-Regiment · x-media music GmbH · Stand 31.08.2026 · Zwischenstand, keine Rechnung</t>
        </is>
      </c>
    </row>
    <row r="4">
      <c r="A4" s="3" t="inlineStr">
        <is>
          <t>Nr.</t>
        </is>
      </c>
      <c r="B4" s="4" t="inlineStr">
        <is>
          <t>Datum</t>
        </is>
      </c>
      <c r="C4" s="4" t="inlineStr">
        <is>
          <t>Veranstaltung</t>
        </is>
      </c>
      <c r="D4" s="4" t="inlineStr">
        <is>
          <t>Ort / Veranstalter</t>
        </is>
      </c>
      <c r="E4" s="3" t="inlineStr">
        <is>
          <t>Gage</t>
        </is>
      </c>
    </row>
    <row r="5">
      <c r="A5" s="5" t="n">
        <v>1</v>
      </c>
      <c r="B5" s="6" t="n">
        <v>46123</v>
      </c>
      <c r="C5" s="7" t="inlineStr">
        <is>
          <t>Wasenopening 2026</t>
        </is>
      </c>
      <c r="D5" s="7" t="inlineStr">
        <is>
          <t>Esslingen</t>
        </is>
      </c>
      <c r="E5" s="8" t="n">
        <v>500</v>
      </c>
    </row>
    <row r="6">
      <c r="A6" s="5" t="n">
        <v>2</v>
      </c>
      <c r="B6" s="6" t="n">
        <v>46130</v>
      </c>
      <c r="C6" s="7" t="inlineStr">
        <is>
          <t>Stuttgarter Frühlingsfest (Wasen-Satz)</t>
        </is>
      </c>
      <c r="D6" s="7" t="inlineStr">
        <is>
          <t>Beim Benz, Stuttgart</t>
        </is>
      </c>
      <c r="E6" s="8" t="n">
        <v>350</v>
      </c>
    </row>
    <row r="7">
      <c r="A7" s="5" t="n">
        <v>3</v>
      </c>
      <c r="B7" s="6" t="n">
        <v>46131</v>
      </c>
      <c r="C7" s="7" t="inlineStr">
        <is>
          <t>Stuttgarter Frühlingsfest (Wasen-Satz)</t>
        </is>
      </c>
      <c r="D7" s="7" t="inlineStr">
        <is>
          <t>Beim Benz, Stuttgart</t>
        </is>
      </c>
      <c r="E7" s="8" t="n">
        <v>350</v>
      </c>
    </row>
    <row r="8">
      <c r="A8" s="5" t="n">
        <v>4</v>
      </c>
      <c r="B8" s="6" t="n">
        <v>46135</v>
      </c>
      <c r="C8" s="7" t="inlineStr">
        <is>
          <t>Stuttgarter Frühlingsfest (Wasen-Satz)</t>
        </is>
      </c>
      <c r="D8" s="7" t="inlineStr">
        <is>
          <t>Beim Benz, Stuttgart</t>
        </is>
      </c>
      <c r="E8" s="8" t="n">
        <v>350</v>
      </c>
    </row>
    <row r="9">
      <c r="A9" s="5" t="n">
        <v>5</v>
      </c>
      <c r="B9" s="6" t="n">
        <v>46136</v>
      </c>
      <c r="C9" s="7" t="inlineStr">
        <is>
          <t>Stuttgarter Frühlingsfest (Wasen-Satz)</t>
        </is>
      </c>
      <c r="D9" s="7" t="inlineStr">
        <is>
          <t>Beim Benz, Stuttgart</t>
        </is>
      </c>
      <c r="E9" s="8" t="n">
        <v>350</v>
      </c>
    </row>
    <row r="10">
      <c r="A10" s="5" t="n">
        <v>6</v>
      </c>
      <c r="B10" s="6" t="n">
        <v>46142</v>
      </c>
      <c r="C10" s="7" t="inlineStr">
        <is>
          <t>Maifest Bettringen</t>
        </is>
      </c>
      <c r="D10" s="7" t="inlineStr">
        <is>
          <t>Schwäbisch Gmünd</t>
        </is>
      </c>
      <c r="E10" s="8" t="n">
        <v>500</v>
      </c>
    </row>
    <row r="11">
      <c r="A11" s="5" t="n">
        <v>7</v>
      </c>
      <c r="B11" s="6" t="n">
        <v>46147</v>
      </c>
      <c r="C11" s="7" t="inlineStr">
        <is>
          <t>Stuttgarter Frühlingsfest (Wasen-Satz)</t>
        </is>
      </c>
      <c r="D11" s="7" t="inlineStr">
        <is>
          <t>Beim Benz, Stuttgart</t>
        </is>
      </c>
      <c r="E11" s="8" t="n">
        <v>350</v>
      </c>
    </row>
    <row r="12">
      <c r="A12" s="5" t="n">
        <v>8</v>
      </c>
      <c r="B12" s="6" t="n">
        <v>46148</v>
      </c>
      <c r="C12" s="7" t="inlineStr">
        <is>
          <t>Stuttgarter Frühlingsfest (Wasen-Satz)</t>
        </is>
      </c>
      <c r="D12" s="7" t="inlineStr">
        <is>
          <t>Beim Benz, Stuttgart</t>
        </is>
      </c>
      <c r="E12" s="8" t="n">
        <v>350</v>
      </c>
    </row>
    <row r="13">
      <c r="A13" s="5" t="n">
        <v>9</v>
      </c>
      <c r="B13" s="6" t="n">
        <v>46151</v>
      </c>
      <c r="C13" s="7" t="inlineStr">
        <is>
          <t>Stuttgarter Frühlingsfest (Wasen-Satz)</t>
        </is>
      </c>
      <c r="D13" s="7" t="inlineStr">
        <is>
          <t>Beim Benz, Stuttgart</t>
        </is>
      </c>
      <c r="E13" s="8" t="n">
        <v>350</v>
      </c>
    </row>
    <row r="14">
      <c r="A14" s="5" t="n">
        <v>10</v>
      </c>
      <c r="B14" s="6" t="n">
        <v>46152</v>
      </c>
      <c r="C14" s="7" t="inlineStr">
        <is>
          <t>Stuttgarter Frühlingsfest (Wasen-Satz)</t>
        </is>
      </c>
      <c r="D14" s="7" t="inlineStr">
        <is>
          <t>Beim Benz, Stuttgart</t>
        </is>
      </c>
      <c r="E14" s="8" t="n">
        <v>350</v>
      </c>
    </row>
    <row r="15">
      <c r="A15" s="5" t="n">
        <v>11</v>
      </c>
      <c r="B15" s="6" t="n">
        <v>46155</v>
      </c>
      <c r="C15" s="7" t="inlineStr">
        <is>
          <t>Berglesbond 2026</t>
        </is>
      </c>
      <c r="D15" s="7" t="inlineStr"/>
      <c r="E15" s="8" t="n">
        <v>500</v>
      </c>
    </row>
    <row r="16">
      <c r="A16" s="5" t="n">
        <v>12</v>
      </c>
      <c r="B16" s="6" t="n">
        <v>46185</v>
      </c>
      <c r="C16" s="7" t="inlineStr">
        <is>
          <t>Stadtfest Schwäbisch Gmünd</t>
        </is>
      </c>
      <c r="D16" s="7" t="inlineStr"/>
      <c r="E16" s="8" t="n">
        <v>500</v>
      </c>
    </row>
    <row r="17">
      <c r="A17" s="5" t="n">
        <v>13</v>
      </c>
      <c r="B17" s="6" t="n">
        <v>46206</v>
      </c>
      <c r="C17" s="7" t="inlineStr">
        <is>
          <t>Stadtkapelle Wernau</t>
        </is>
      </c>
      <c r="D17" s="7" t="inlineStr">
        <is>
          <t>Wernau</t>
        </is>
      </c>
      <c r="E17" s="8" t="n">
        <v>500</v>
      </c>
    </row>
    <row r="18">
      <c r="A18" s="5" t="n">
        <v>14</v>
      </c>
      <c r="B18" s="6" t="n">
        <v>46213</v>
      </c>
      <c r="C18" s="7" t="inlineStr">
        <is>
          <t>HSN Denkendorf</t>
        </is>
      </c>
      <c r="D18" s="7" t="inlineStr">
        <is>
          <t>Denkendorf</t>
        </is>
      </c>
      <c r="E18" s="8" t="n">
        <v>500</v>
      </c>
    </row>
    <row r="19">
      <c r="A19" s="5" t="n">
        <v>15</v>
      </c>
      <c r="B19" s="6" t="n">
        <v>46214</v>
      </c>
      <c r="C19" s="7" t="inlineStr">
        <is>
          <t>Motocross Aichwald</t>
        </is>
      </c>
      <c r="D19" s="7" t="inlineStr">
        <is>
          <t>Aichwald</t>
        </is>
      </c>
      <c r="E19" s="8" t="n">
        <v>500</v>
      </c>
    </row>
    <row r="20">
      <c r="A20" s="5" t="n">
        <v>16</v>
      </c>
      <c r="B20" s="6" t="n">
        <v>46221</v>
      </c>
      <c r="C20" s="7" t="inlineStr">
        <is>
          <t>SC Freiburg Fanfest</t>
        </is>
      </c>
      <c r="D20" s="7" t="inlineStr">
        <is>
          <t>Rothaus, Grafenhausen</t>
        </is>
      </c>
      <c r="E20" s="8" t="n">
        <v>500</v>
      </c>
    </row>
    <row r="21">
      <c r="A21" s="5" t="n">
        <v>17</v>
      </c>
      <c r="B21" s="6" t="n">
        <v>46225</v>
      </c>
      <c r="C21" s="7" t="inlineStr">
        <is>
          <t>VR-Bank Sommerfest</t>
        </is>
      </c>
      <c r="D21" s="7" t="inlineStr">
        <is>
          <t>Schwieberdingen</t>
        </is>
      </c>
      <c r="E21" s="8" t="n">
        <v>500</v>
      </c>
    </row>
    <row r="22">
      <c r="A22" s="5" t="n">
        <v>18</v>
      </c>
      <c r="B22" s="6" t="n">
        <v>46235</v>
      </c>
      <c r="C22" s="7" t="inlineStr">
        <is>
          <t>Ochsenfest Stangenbach</t>
        </is>
      </c>
      <c r="D22" s="7" t="inlineStr">
        <is>
          <t>Stangenbach</t>
        </is>
      </c>
      <c r="E22" s="8" t="n">
        <v>500</v>
      </c>
    </row>
    <row r="23">
      <c r="A23" s="5" t="n">
        <v>19</v>
      </c>
      <c r="B23" s="6" t="n">
        <v>46256</v>
      </c>
      <c r="C23" s="7" t="inlineStr">
        <is>
          <t>Open Air – Geburtstag</t>
        </is>
      </c>
      <c r="D23" s="7" t="inlineStr">
        <is>
          <t>geschlossene Gesellschaft</t>
        </is>
      </c>
      <c r="E23" s="8" t="n">
        <v>500</v>
      </c>
    </row>
    <row r="24">
      <c r="A24" s="5" t="n">
        <v>20</v>
      </c>
      <c r="B24" s="6" t="n">
        <v>46277</v>
      </c>
      <c r="C24" s="7" t="inlineStr">
        <is>
          <t>Rothaus Streetfood</t>
        </is>
      </c>
      <c r="D24" s="7" t="inlineStr">
        <is>
          <t>Brauerei Rothaus</t>
        </is>
      </c>
      <c r="E24" s="8" t="n">
        <v>500</v>
      </c>
    </row>
    <row r="25">
      <c r="A25" s="5" t="n">
        <v>21</v>
      </c>
      <c r="B25" s="6" t="n">
        <v>46278</v>
      </c>
      <c r="C25" s="7" t="inlineStr">
        <is>
          <t>Rothaus Streetfood</t>
        </is>
      </c>
      <c r="D25" s="7" t="inlineStr">
        <is>
          <t>Brauerei Rothaus</t>
        </is>
      </c>
      <c r="E25" s="8" t="n">
        <v>500</v>
      </c>
    </row>
    <row r="26">
      <c r="A26" s="5" t="n">
        <v>22</v>
      </c>
      <c r="B26" s="6" t="n">
        <v>46283</v>
      </c>
      <c r="C26" s="7" t="inlineStr">
        <is>
          <t>Oktoberfest Koblenz</t>
        </is>
      </c>
      <c r="D26" s="7" t="inlineStr">
        <is>
          <t>Koblenz</t>
        </is>
      </c>
      <c r="E26" s="8" t="n">
        <v>500</v>
      </c>
    </row>
    <row r="27">
      <c r="A27" s="5" t="n">
        <v>23</v>
      </c>
      <c r="B27" s="6" t="n">
        <v>46284</v>
      </c>
      <c r="C27" s="7" t="inlineStr">
        <is>
          <t>Oktoberfest Koblenz</t>
        </is>
      </c>
      <c r="D27" s="7" t="inlineStr">
        <is>
          <t>Koblenz</t>
        </is>
      </c>
      <c r="E27" s="8" t="n">
        <v>500</v>
      </c>
    </row>
    <row r="28">
      <c r="A28" s="5" t="n">
        <v>24</v>
      </c>
      <c r="B28" s="6" t="n">
        <v>46289</v>
      </c>
      <c r="C28" s="7" t="inlineStr">
        <is>
          <t>Erbenheim</t>
        </is>
      </c>
      <c r="D28" s="7" t="inlineStr">
        <is>
          <t>Wiesbaden</t>
        </is>
      </c>
      <c r="E28" s="8" t="n">
        <v>500</v>
      </c>
    </row>
    <row r="29">
      <c r="A29" s="5" t="n">
        <v>25</v>
      </c>
      <c r="B29" s="6" t="n">
        <v>46291</v>
      </c>
      <c r="C29" s="7" t="inlineStr">
        <is>
          <t>Cannstatter Volksfest (Wasen-Satz)</t>
        </is>
      </c>
      <c r="D29" s="7" t="inlineStr">
        <is>
          <t>Beim Benz im Hofbräuzelt</t>
        </is>
      </c>
      <c r="E29" s="8" t="n">
        <v>350</v>
      </c>
    </row>
    <row r="30">
      <c r="A30" s="5" t="n">
        <v>26</v>
      </c>
      <c r="B30" s="6" t="n">
        <v>46292</v>
      </c>
      <c r="C30" s="7" t="inlineStr">
        <is>
          <t>Cannstatter Volksfest (Wasen-Satz)</t>
        </is>
      </c>
      <c r="D30" s="7" t="inlineStr">
        <is>
          <t>Beim Benz im Hofbräuzelt</t>
        </is>
      </c>
      <c r="E30" s="8" t="n">
        <v>350</v>
      </c>
    </row>
    <row r="31">
      <c r="A31" s="5" t="n">
        <v>27</v>
      </c>
      <c r="B31" s="6" t="n">
        <v>46296</v>
      </c>
      <c r="C31" s="7" t="inlineStr">
        <is>
          <t>Cannstatter Volksfest (Wasen-Satz)</t>
        </is>
      </c>
      <c r="D31" s="7" t="inlineStr">
        <is>
          <t>Beim Benz im Hofbräuzelt</t>
        </is>
      </c>
      <c r="E31" s="8" t="n">
        <v>350</v>
      </c>
    </row>
    <row r="32">
      <c r="A32" s="5" t="n">
        <v>28</v>
      </c>
      <c r="B32" s="6" t="n">
        <v>46297</v>
      </c>
      <c r="C32" s="7" t="inlineStr">
        <is>
          <t>Badisches Oktoberfest</t>
        </is>
      </c>
      <c r="D32" s="7" t="inlineStr">
        <is>
          <t>Rothaus Treffpunkt-Zelt</t>
        </is>
      </c>
      <c r="E32" s="8" t="n">
        <v>500</v>
      </c>
    </row>
    <row r="33">
      <c r="A33" s="5" t="n">
        <v>29</v>
      </c>
      <c r="B33" s="6" t="n">
        <v>46298</v>
      </c>
      <c r="C33" s="7" t="inlineStr">
        <is>
          <t>Badisches Oktoberfest</t>
        </is>
      </c>
      <c r="D33" s="7" t="inlineStr">
        <is>
          <t>Rothaus Treffpunkt-Zelt</t>
        </is>
      </c>
      <c r="E33" s="8" t="n">
        <v>500</v>
      </c>
    </row>
    <row r="34">
      <c r="A34" s="5" t="n">
        <v>30</v>
      </c>
      <c r="B34" s="6" t="n">
        <v>46306</v>
      </c>
      <c r="C34" s="7" t="inlineStr">
        <is>
          <t>Cannstatter Volksfest (Wasen-Satz)</t>
        </is>
      </c>
      <c r="D34" s="7" t="inlineStr">
        <is>
          <t>Beim Benz im Hofbräuzelt</t>
        </is>
      </c>
      <c r="E34" s="8" t="n">
        <v>350</v>
      </c>
    </row>
    <row r="35">
      <c r="A35" s="5" t="n">
        <v>31</v>
      </c>
      <c r="B35" s="6" t="n">
        <v>46311</v>
      </c>
      <c r="C35" s="7" t="inlineStr">
        <is>
          <t>Badisches Oktoberfest Freiburg</t>
        </is>
      </c>
      <c r="D35" s="7" t="inlineStr">
        <is>
          <t>Freiburg</t>
        </is>
      </c>
      <c r="E35" s="8" t="n">
        <v>500</v>
      </c>
    </row>
    <row r="36">
      <c r="A36" s="5" t="n">
        <v>32</v>
      </c>
      <c r="B36" s="6" t="n">
        <v>46312</v>
      </c>
      <c r="C36" s="7" t="inlineStr">
        <is>
          <t>Badisches Oktoberfest Freiburg</t>
        </is>
      </c>
      <c r="D36" s="7" t="inlineStr">
        <is>
          <t>Freiburg</t>
        </is>
      </c>
      <c r="E36" s="8" t="n">
        <v>500</v>
      </c>
    </row>
    <row r="37">
      <c r="A37" s="5" t="n">
        <v>33</v>
      </c>
      <c r="B37" s="6" t="n">
        <v>46332</v>
      </c>
      <c r="C37" s="7" t="inlineStr">
        <is>
          <t>Heiner Wiesn Darmstadt</t>
        </is>
      </c>
      <c r="D37" s="7" t="inlineStr">
        <is>
          <t>Darmstadt</t>
        </is>
      </c>
      <c r="E37" s="8" t="n">
        <v>500</v>
      </c>
    </row>
    <row r="38">
      <c r="A38" s="5" t="n">
        <v>34</v>
      </c>
      <c r="B38" s="6" t="n">
        <v>46333</v>
      </c>
      <c r="C38" s="7" t="inlineStr">
        <is>
          <t>Heiner Wiesn Darmstadt</t>
        </is>
      </c>
      <c r="D38" s="7" t="inlineStr">
        <is>
          <t>Darmstadt</t>
        </is>
      </c>
      <c r="E38" s="8" t="n">
        <v>500</v>
      </c>
    </row>
    <row r="39">
      <c r="A39" s="5" t="n">
        <v>35</v>
      </c>
      <c r="B39" s="6" t="n">
        <v>46369</v>
      </c>
      <c r="C39" s="7" t="inlineStr">
        <is>
          <t>Benefizkonzert Ludwigsburg (Benefiz – ohne Gage)</t>
        </is>
      </c>
      <c r="D39" s="7" t="inlineStr">
        <is>
          <t>Ludwigsburg</t>
        </is>
      </c>
      <c r="E39" s="8" t="n">
        <v>0</v>
      </c>
    </row>
    <row r="40">
      <c r="A40" s="9" t="n"/>
      <c r="B40" s="9" t="n"/>
      <c r="C40" s="10" t="inlineStr">
        <is>
          <t>Summe Gagen (35 Auftritte)</t>
        </is>
      </c>
      <c r="D40" s="9" t="n"/>
      <c r="E40" s="11">
        <f>SUM(E5:E39)</f>
        <v/>
      </c>
    </row>
    <row r="42">
      <c r="C42" s="12" t="inlineStr">
        <is>
          <t>Vorauszahlungen 2026</t>
        </is>
      </c>
    </row>
    <row r="43">
      <c r="A43" s="13" t="n"/>
      <c r="B43" s="13" t="n"/>
      <c r="C43" s="7" t="inlineStr">
        <is>
          <t>Einmalzahlung 25.04.2026</t>
        </is>
      </c>
      <c r="D43" s="13" t="n"/>
      <c r="E43" s="14" t="n">
        <v>1000</v>
      </c>
    </row>
    <row r="44">
      <c r="A44" s="13" t="n"/>
      <c r="B44" s="13" t="n"/>
      <c r="C44" s="7" t="inlineStr">
        <is>
          <t>8 × 1.700,00 € monatlich (Mai bis Dezember 2026)</t>
        </is>
      </c>
      <c r="D44" s="13" t="n"/>
      <c r="E44" s="14" t="n">
        <v>13600</v>
      </c>
    </row>
    <row r="45">
      <c r="A45" s="9" t="n"/>
      <c r="B45" s="9" t="n"/>
      <c r="C45" s="10" t="inlineStr">
        <is>
          <t>Vorauszahlungen gesamt</t>
        </is>
      </c>
      <c r="D45" s="9" t="n"/>
      <c r="E45" s="11">
        <f>SUM(E43:E44)</f>
        <v/>
      </c>
    </row>
    <row r="47">
      <c r="A47" s="15" t="n"/>
      <c r="B47" s="15" t="n"/>
      <c r="C47" s="16" t="inlineStr">
        <is>
          <t>Saldo zum Jahresende</t>
        </is>
      </c>
      <c r="D47" s="15" t="n"/>
      <c r="E47" s="17">
        <f>E40-E45</f>
        <v/>
      </c>
    </row>
    <row r="48">
      <c r="C48" s="18">
        <f>IF(E47&gt;0,"offener Restbetrag zugunsten Pascal",IF(E47&lt;0,"bereits zu viel vorausgezahlt – Ausgleich mit der Jahresrechnung","ausgeglichen"))</f>
        <v/>
      </c>
    </row>
    <row r="50">
      <c r="B50" s="2" t="inlineStr">
        <is>
          <t>• Umsatzsteuerbefreit – die Gagen werden ohne Mehrwertsteuer abgerechnet.</t>
        </is>
      </c>
    </row>
    <row r="51">
      <c r="B51" s="2" t="inlineStr">
        <is>
          <t>• Frühlingsfest und Cannstatter Volksfest werden zum reduzierten Wasen-Satz von 350 € abgerechnet, alle übrigen Auftritte mit 500 €.</t>
        </is>
      </c>
    </row>
    <row r="52">
      <c r="B52" s="2" t="inlineStr">
        <is>
          <t>• Das Benefizkonzert am 13.12.2026 in Ludwigsburg findet ohne Gage statt.</t>
        </is>
      </c>
    </row>
    <row r="53">
      <c r="B53" s="2" t="inlineStr">
        <is>
          <t>• Aufstellung nach Stand der Terminplanung vom 31.08.2026. Terminänderungen bleiben vorbehalten.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2026-08-31T08:51:34Z</dcterms:created>
  <dcterms:modified xmlns:dcterms="http://purl.org/dc/terms/" xmlns:xsi="http://www.w3.org/2001/XMLSchema-instance" xsi:type="dcterms:W3CDTF">2026-08-31T08:51:34Z</dcterms:modified>
</cp:coreProperties>
</file>