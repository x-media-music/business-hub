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\"/>
    </mc:Choice>
  </mc:AlternateContent>
  <xr:revisionPtr revIDLastSave="0" documentId="13_ncr:1_{9C7CFCF8-049C-492C-81CD-37F52468E77D}" xr6:coauthVersionLast="47" xr6:coauthVersionMax="47" xr10:uidLastSave="{00000000-0000-0000-0000-000000000000}"/>
  <bookViews>
    <workbookView xWindow="-120" yWindow="-120" windowWidth="29040" windowHeight="15720" xr2:uid="{2D45BB8E-4F4B-48D0-8A86-9961F5DA7CB9}"/>
  </bookViews>
  <sheets>
    <sheet name="Zusammenfassung" sheetId="2" r:id="rId1"/>
    <sheet name="Tabelle1" sheetId="3" state="hidden" r:id="rId2"/>
    <sheet name="Einzelaufstellu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2" l="1"/>
  <c r="F31" i="2"/>
  <c r="F27" i="2"/>
  <c r="C27" i="2"/>
  <c r="C22" i="2"/>
  <c r="F22" i="2" s="1"/>
  <c r="I22" i="2" s="1"/>
  <c r="C21" i="2"/>
  <c r="F21" i="2" s="1"/>
  <c r="I21" i="2" s="1"/>
  <c r="C20" i="2"/>
  <c r="F20" i="2" s="1"/>
  <c r="I20" i="2" s="1"/>
  <c r="C19" i="2"/>
  <c r="F19" i="2" s="1"/>
  <c r="I19" i="2" s="1"/>
  <c r="F4" i="2"/>
  <c r="I4" i="2" s="1"/>
  <c r="AB21" i="1"/>
  <c r="AB27" i="1"/>
  <c r="C13" i="2"/>
  <c r="C8" i="2"/>
  <c r="C4" i="2"/>
  <c r="AB24" i="1"/>
  <c r="AE27" i="1" s="1"/>
  <c r="AD8" i="1"/>
  <c r="AD13" i="1"/>
  <c r="AE13" i="1" s="1"/>
  <c r="AD9" i="1"/>
  <c r="AE9" i="1" s="1"/>
  <c r="AD10" i="1"/>
  <c r="Q74" i="1"/>
  <c r="P71" i="1"/>
  <c r="P70" i="1"/>
  <c r="P69" i="1"/>
  <c r="P68" i="1"/>
  <c r="P67" i="1"/>
  <c r="P66" i="1"/>
  <c r="P74" i="1" s="1"/>
  <c r="O44" i="1"/>
  <c r="C75" i="1" s="1"/>
  <c r="AE19" i="1"/>
  <c r="AE18" i="1"/>
  <c r="AE17" i="1"/>
  <c r="AE16" i="1"/>
  <c r="AE15" i="1"/>
  <c r="AE14" i="1"/>
  <c r="AE12" i="1"/>
  <c r="AE11" i="1"/>
  <c r="AE10" i="1"/>
  <c r="AE8" i="1"/>
  <c r="AE7" i="1"/>
  <c r="P40" i="1"/>
  <c r="P41" i="1"/>
  <c r="P42" i="1"/>
  <c r="P39" i="1"/>
  <c r="X13" i="1"/>
  <c r="AA13" i="1" s="1"/>
  <c r="C3" i="3"/>
  <c r="C10" i="3" s="1"/>
  <c r="AB33" i="1"/>
  <c r="AB32" i="1"/>
  <c r="AB31" i="1"/>
  <c r="AB30" i="1"/>
  <c r="C15" i="2"/>
  <c r="Q60" i="1"/>
  <c r="P53" i="1"/>
  <c r="X53" i="1" s="1"/>
  <c r="P54" i="1"/>
  <c r="X54" i="1" s="1"/>
  <c r="P55" i="1"/>
  <c r="P56" i="1"/>
  <c r="P57" i="1"/>
  <c r="P52" i="1"/>
  <c r="Y12" i="1"/>
  <c r="C12" i="2"/>
  <c r="C44" i="1"/>
  <c r="C48" i="1" s="1"/>
  <c r="C61" i="1" s="1"/>
  <c r="D39" i="1"/>
  <c r="I29" i="2"/>
  <c r="C14" i="2"/>
  <c r="AA12" i="1"/>
  <c r="AB12" i="1" s="1"/>
  <c r="AA10" i="1"/>
  <c r="AB10" i="1" s="1"/>
  <c r="AA8" i="1"/>
  <c r="AB8" i="1" s="1"/>
  <c r="AA9" i="1"/>
  <c r="AA11" i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7" i="1"/>
  <c r="AB7" i="1" s="1"/>
  <c r="P19" i="1"/>
  <c r="P18" i="1"/>
  <c r="P17" i="1"/>
  <c r="P16" i="1"/>
  <c r="P15" i="1"/>
  <c r="P14" i="1"/>
  <c r="P13" i="1"/>
  <c r="P11" i="1"/>
  <c r="P9" i="1"/>
  <c r="P7" i="1"/>
  <c r="I44" i="1"/>
  <c r="D40" i="1"/>
  <c r="G13" i="1"/>
  <c r="G12" i="1"/>
  <c r="M13" i="1"/>
  <c r="M42" i="1"/>
  <c r="M39" i="1"/>
  <c r="M40" i="1"/>
  <c r="M41" i="1"/>
  <c r="J42" i="1"/>
  <c r="J39" i="1"/>
  <c r="J40" i="1"/>
  <c r="G41" i="1"/>
  <c r="D41" i="1"/>
  <c r="J41" i="1"/>
  <c r="F44" i="1"/>
  <c r="G42" i="1"/>
  <c r="G40" i="1"/>
  <c r="G39" i="1"/>
  <c r="D42" i="1"/>
  <c r="J10" i="1"/>
  <c r="Y11" i="1"/>
  <c r="Y9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M19" i="1"/>
  <c r="M18" i="1"/>
  <c r="M17" i="1"/>
  <c r="M16" i="1"/>
  <c r="M15" i="1"/>
  <c r="M14" i="1"/>
  <c r="M11" i="1"/>
  <c r="M10" i="1"/>
  <c r="M9" i="1"/>
  <c r="M8" i="1"/>
  <c r="M7" i="1"/>
  <c r="Y7" i="1"/>
  <c r="Y8" i="1"/>
  <c r="Y10" i="1"/>
  <c r="Y15" i="1"/>
  <c r="Y16" i="1"/>
  <c r="Y17" i="1"/>
  <c r="Y18" i="1"/>
  <c r="Y19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J19" i="1"/>
  <c r="J18" i="1"/>
  <c r="J17" i="1"/>
  <c r="J16" i="1"/>
  <c r="J15" i="1"/>
  <c r="J14" i="1"/>
  <c r="J13" i="1"/>
  <c r="J12" i="1"/>
  <c r="J11" i="1"/>
  <c r="J8" i="1"/>
  <c r="J7" i="1"/>
  <c r="G19" i="1"/>
  <c r="G18" i="1"/>
  <c r="G17" i="1"/>
  <c r="G16" i="1"/>
  <c r="G15" i="1"/>
  <c r="G11" i="1"/>
  <c r="G10" i="1"/>
  <c r="G9" i="1"/>
  <c r="G8" i="1"/>
  <c r="G7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Y13" i="1" l="1"/>
  <c r="AE21" i="1"/>
  <c r="P44" i="1"/>
  <c r="P60" i="1"/>
  <c r="I27" i="2"/>
  <c r="P12" i="1"/>
  <c r="P10" i="1"/>
  <c r="P8" i="1"/>
  <c r="C24" i="2"/>
  <c r="G14" i="1"/>
  <c r="G21" i="1" s="1"/>
  <c r="J44" i="1"/>
  <c r="M44" i="1"/>
  <c r="M12" i="1"/>
  <c r="M21" i="1" s="1"/>
  <c r="G44" i="1"/>
  <c r="D44" i="1"/>
  <c r="AB13" i="1"/>
  <c r="AB11" i="1"/>
  <c r="AB9" i="1"/>
  <c r="S21" i="1"/>
  <c r="S27" i="1" s="1"/>
  <c r="S36" i="1" s="1"/>
  <c r="D21" i="1"/>
  <c r="D27" i="1" s="1"/>
  <c r="D36" i="1" s="1"/>
  <c r="V21" i="1"/>
  <c r="V27" i="1" s="1"/>
  <c r="V36" i="1" s="1"/>
  <c r="J9" i="1"/>
  <c r="J21" i="1" s="1"/>
  <c r="Y14" i="1"/>
  <c r="Y21" i="1" s="1"/>
  <c r="P24" i="1" s="1"/>
  <c r="M27" i="1" l="1"/>
  <c r="M36" i="1" s="1"/>
  <c r="C7" i="2"/>
  <c r="J27" i="1"/>
  <c r="J36" i="1" s="1"/>
  <c r="C6" i="2"/>
  <c r="G27" i="1"/>
  <c r="G36" i="1" s="1"/>
  <c r="C5" i="2"/>
  <c r="P21" i="1"/>
  <c r="P27" i="1" s="1"/>
  <c r="P36" i="1" s="1"/>
  <c r="F8" i="2" s="1"/>
  <c r="I8" i="2" s="1"/>
  <c r="Y27" i="1"/>
  <c r="Y36" i="1" s="1"/>
  <c r="F5" i="2" l="1"/>
  <c r="I5" i="2" s="1"/>
  <c r="I10" i="2" s="1"/>
  <c r="C10" i="2"/>
  <c r="AB36" i="1"/>
  <c r="F10" i="2" l="1"/>
  <c r="C17" i="2"/>
</calcChain>
</file>

<file path=xl/sharedStrings.xml><?xml version="1.0" encoding="utf-8"?>
<sst xmlns="http://schemas.openxmlformats.org/spreadsheetml/2006/main" count="120" uniqueCount="77">
  <si>
    <t>Abrechnung Nachfasching 2025</t>
  </si>
  <si>
    <t>Summe</t>
  </si>
  <si>
    <t>Scheine/Münzen</t>
  </si>
  <si>
    <t>Anzahl</t>
  </si>
  <si>
    <t>Betrag</t>
  </si>
  <si>
    <t>abzgl. Wechselgeld</t>
  </si>
  <si>
    <t>Bargeldbestand</t>
  </si>
  <si>
    <t>tatsächliche Einnahmen</t>
  </si>
  <si>
    <t>Zusammenfassung</t>
  </si>
  <si>
    <t xml:space="preserve">Abendkasse </t>
  </si>
  <si>
    <t>Summe Einnahmen Ditix</t>
  </si>
  <si>
    <t>Summe Einnahmen</t>
  </si>
  <si>
    <t>Bargeld</t>
  </si>
  <si>
    <t>Einnahmen</t>
  </si>
  <si>
    <t>Summe Besucher</t>
  </si>
  <si>
    <t>Wechselgeld/Reserve</t>
  </si>
  <si>
    <t>Besucher Bargeld</t>
  </si>
  <si>
    <t>Online gescannt</t>
  </si>
  <si>
    <t xml:space="preserve">  VVK</t>
  </si>
  <si>
    <t xml:space="preserve">  Hardtickets</t>
  </si>
  <si>
    <t xml:space="preserve">  Gästeliste</t>
  </si>
  <si>
    <t xml:space="preserve">  Treueticket</t>
  </si>
  <si>
    <t>Noch ausstehende Abrechnung</t>
  </si>
  <si>
    <t>(geschätzt)</t>
  </si>
  <si>
    <t>VVK Donner</t>
  </si>
  <si>
    <t>Bar</t>
  </si>
  <si>
    <t>VVK M1 erste Abschöpfung</t>
  </si>
  <si>
    <t>Einnahme VVK Donner</t>
  </si>
  <si>
    <t>Einnahmen VVK M1 (Abschöpfung)</t>
  </si>
  <si>
    <t>abzgl. Barhelfer</t>
  </si>
  <si>
    <t>abzgl. Toilettenwagen</t>
  </si>
  <si>
    <t xml:space="preserve">  </t>
  </si>
  <si>
    <t>Ditix</t>
  </si>
  <si>
    <t>VVK Gebühr</t>
  </si>
  <si>
    <t>Gesamteinnahme</t>
  </si>
  <si>
    <t>zzgl. Sponsoreneinnahmen</t>
  </si>
  <si>
    <t>Brutto</t>
  </si>
  <si>
    <t>Summe Einnahmen netto</t>
  </si>
  <si>
    <t>Summe Einnahmen brutto</t>
  </si>
  <si>
    <t>(Abendkasse)</t>
  </si>
  <si>
    <t>Karten lt. Ditiix</t>
  </si>
  <si>
    <t>Betrag errechnet</t>
  </si>
  <si>
    <t>Betrag lt. Ditix</t>
  </si>
  <si>
    <t>Differezn</t>
  </si>
  <si>
    <t>abzgl. Becher Spülen</t>
  </si>
  <si>
    <t>107.7</t>
  </si>
  <si>
    <t>Werbung</t>
  </si>
  <si>
    <t>Band</t>
  </si>
  <si>
    <t>Technik</t>
  </si>
  <si>
    <t>Manu+Dani</t>
  </si>
  <si>
    <t>Scurity</t>
  </si>
  <si>
    <t>Bardamen</t>
  </si>
  <si>
    <t>Wareneinkauf Bar</t>
  </si>
  <si>
    <t>Abendkasse Freitag</t>
  </si>
  <si>
    <t>Wechselgeld Freitag</t>
  </si>
  <si>
    <t>Wechsegeld Samstag</t>
  </si>
  <si>
    <t>Abendkasse Kind</t>
  </si>
  <si>
    <t xml:space="preserve">  Abendkasse-ticket</t>
  </si>
  <si>
    <t xml:space="preserve">  Reservistenclub</t>
  </si>
  <si>
    <t>Einnahmen Gebühren</t>
  </si>
  <si>
    <t>Freitag</t>
  </si>
  <si>
    <t>Sponsoren</t>
  </si>
  <si>
    <t>Check</t>
  </si>
  <si>
    <t>Abendkasse Samstag</t>
  </si>
  <si>
    <t>VVK</t>
  </si>
  <si>
    <t>Ditix Besucher Samstag</t>
  </si>
  <si>
    <t>Ditix Besucher Freitag</t>
  </si>
  <si>
    <t>Einnahmen Abendkasse Freitag</t>
  </si>
  <si>
    <t>Einnahmen Abendkasse Samstag</t>
  </si>
  <si>
    <t>Einnahmen VVK Blüte und Stil</t>
  </si>
  <si>
    <t>Einnahmen VVK Ditix Freitag</t>
  </si>
  <si>
    <t>Einnahmen VVK Gebühr Freitag</t>
  </si>
  <si>
    <t>Einnahmen VVK Ditix Samstag</t>
  </si>
  <si>
    <t>Einnahmen VVK Gebühr Samstag</t>
  </si>
  <si>
    <t>Hardticket (lr. Scan) 456 Verkaufte Ticket</t>
  </si>
  <si>
    <t>abzgl Blüste und Stiel 130 verkaufte Ticket</t>
  </si>
  <si>
    <t>VVK Blüte&amp;Stil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</si>
</sst>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#,##0_ ;\-#,##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0" fillId="0" borderId="0" xfId="0"/>
    <xf numFmtId="0" fontId="0" fillId="0" borderId="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3" xfId="2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4" fontId="0" fillId="0" borderId="2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3" xfId="2" applyFont="1" applyBorder="1"/>
    <xf numFmtId="44" fontId="0" fillId="0" borderId="4" xfId="2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0" fontId="0" fillId="0" borderId="5" xfId="0" applyBorder="1" applyAlignment="1">
      <alignment vertical="top"/>
    </xf>
    <xf numFmtId="165" fontId="0" fillId="0" borderId="0" xfId="0" applyNumberFormat="1"/>
    <xf numFmtId="44" fontId="0" fillId="0" borderId="0" xfId="1" applyFont="1"/>
    <xf numFmtId="44" fontId="2" fillId="0" borderId="0" xfId="1" applyFont="1"/>
    <xf numFmtId="0" fontId="2" fillId="0" borderId="0" xfId="0" applyFont="1" applyAlignment="1">
      <alignment wrapText="1"/>
    </xf>
    <xf numFmtId="44" fontId="0" fillId="0" borderId="0" xfId="0" applyNumberFormat="1"/>
    <xf numFmtId="44" fontId="2" fillId="0" borderId="0" xfId="1" applyFont="1" applyBorder="1"/>
    <xf numFmtId="0" fontId="0" fillId="0" borderId="0" xfId="0" applyFont="1"/>
    <xf numFmtId="44" fontId="0" fillId="0" borderId="6" xfId="1" applyFont="1" applyBorder="1"/>
    <xf numFmtId="164" fontId="0" fillId="0" borderId="3" xfId="0" applyNumberFormat="1" applyFill="1" applyBorder="1"/>
    <xf numFmtId="165" fontId="0" fillId="0" borderId="3" xfId="0" applyNumberFormat="1" applyFill="1" applyBorder="1"/>
    <xf numFmtId="44" fontId="0" fillId="0" borderId="3" xfId="2" applyFont="1" applyFill="1" applyBorder="1"/>
    <xf numFmtId="0" fontId="0" fillId="0" borderId="0" xfId="0" applyFill="1" applyBorder="1"/>
    <xf numFmtId="44" fontId="0" fillId="0" borderId="6" xfId="0" applyNumberFormat="1" applyBorder="1"/>
    <xf numFmtId="44" fontId="0" fillId="0" borderId="0" xfId="1" applyFont="1" applyBorder="1"/>
    <xf numFmtId="0" fontId="2" fillId="2" borderId="0" xfId="0" applyFont="1" applyFill="1"/>
    <xf numFmtId="44" fontId="2" fillId="2" borderId="0" xfId="0" applyNumberFormat="1" applyFont="1" applyFill="1"/>
    <xf numFmtId="44" fontId="2" fillId="2" borderId="0" xfId="1" applyFont="1" applyFill="1"/>
    <xf numFmtId="0" fontId="2" fillId="2" borderId="0" xfId="0" applyFont="1" applyFill="1" applyAlignment="1">
      <alignment wrapText="1"/>
    </xf>
    <xf numFmtId="44" fontId="2" fillId="3" borderId="0" xfId="1" applyFont="1" applyFill="1"/>
    <xf numFmtId="0" fontId="2" fillId="4" borderId="0" xfId="0" applyFont="1" applyFill="1"/>
    <xf numFmtId="44" fontId="2" fillId="4" borderId="0" xfId="1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3">
    <cellStyle name="Standard" xfId="0" builtinId="0"/>
    <cellStyle name="Währung" xfId="1" builtinId="4"/>
    <cellStyle name="Währung 2" xfId="2" xr:uid="{B347CEDC-2AD7-4232-8A6F-74E237F59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9A41-BAF1-400F-84F5-6147584663D6}">
  <dimension ref="A1:K35"/>
  <sheetViews>
    <sheetView tabSelected="1" workbookViewId="0">
      <selection activeCell="I32" sqref="I32"/>
    </sheetView>
  </sheetViews>
  <sheetFormatPr baseColWidth="10" defaultRowHeight="15" x14ac:dyDescent="0.25"/>
  <cols>
    <col min="1" max="1" width="34.42578125" customWidth="1"/>
    <col min="2" max="2" width="4.5703125" customWidth="1"/>
    <col min="3" max="3" width="12" style="45" bestFit="1" customWidth="1"/>
    <col min="6" max="6" width="17" style="1" customWidth="1"/>
    <col min="7" max="7" width="23.42578125" style="1" customWidth="1"/>
    <col min="8" max="8" width="4.140625" style="1" customWidth="1"/>
    <col min="9" max="10" width="17" style="1" customWidth="1"/>
    <col min="11" max="11" width="12" style="1" bestFit="1" customWidth="1"/>
  </cols>
  <sheetData>
    <row r="1" spans="1:11" x14ac:dyDescent="0.25">
      <c r="A1" s="1" t="s">
        <v>8</v>
      </c>
    </row>
    <row r="2" spans="1:11" x14ac:dyDescent="0.25">
      <c r="C2" s="45" t="s">
        <v>12</v>
      </c>
      <c r="F2" s="58" t="s">
        <v>38</v>
      </c>
      <c r="G2" s="58"/>
      <c r="I2" s="58" t="s">
        <v>37</v>
      </c>
      <c r="J2" s="58"/>
    </row>
    <row r="3" spans="1:11" x14ac:dyDescent="0.25">
      <c r="F3" s="58"/>
      <c r="G3" s="58"/>
      <c r="I3" s="58"/>
      <c r="J3" s="58"/>
    </row>
    <row r="4" spans="1:11" ht="16.5" customHeight="1" x14ac:dyDescent="0.25">
      <c r="A4" s="50" t="s">
        <v>67</v>
      </c>
      <c r="C4" s="45">
        <f>+Einzelaufstellung!D36</f>
        <v>6365</v>
      </c>
      <c r="F4" s="59">
        <f>+C4</f>
        <v>6365</v>
      </c>
      <c r="G4" s="59" t="s">
        <v>25</v>
      </c>
      <c r="I4" s="59">
        <f>+F4/1.07</f>
        <v>5948.598130841121</v>
      </c>
      <c r="J4" s="59"/>
    </row>
    <row r="5" spans="1:11" s="27" customFormat="1" ht="16.5" customHeight="1" x14ac:dyDescent="0.25">
      <c r="A5" s="50" t="s">
        <v>69</v>
      </c>
      <c r="C5" s="45">
        <f>+Einzelaufstellung!G21</f>
        <v>1690</v>
      </c>
      <c r="F5" s="59">
        <f>+C5</f>
        <v>1690</v>
      </c>
      <c r="G5" s="59" t="s">
        <v>25</v>
      </c>
      <c r="H5" s="1"/>
      <c r="I5" s="59">
        <f>+F5/1.07</f>
        <v>1579.4392523364486</v>
      </c>
      <c r="J5" s="59"/>
      <c r="K5" s="1"/>
    </row>
    <row r="6" spans="1:11" s="27" customFormat="1" hidden="1" x14ac:dyDescent="0.25">
      <c r="A6" s="27" t="s">
        <v>27</v>
      </c>
      <c r="C6" s="45">
        <f>+Einzelaufstellung!J21</f>
        <v>0</v>
      </c>
      <c r="D6" s="45"/>
      <c r="E6" s="45"/>
      <c r="F6" s="59"/>
      <c r="G6" s="59"/>
      <c r="H6" s="46"/>
      <c r="I6" s="59"/>
      <c r="J6" s="59"/>
      <c r="K6" s="46"/>
    </row>
    <row r="7" spans="1:11" s="27" customFormat="1" hidden="1" x14ac:dyDescent="0.25">
      <c r="A7" s="27" t="s">
        <v>28</v>
      </c>
      <c r="C7" s="45">
        <f>+Einzelaufstellung!M21</f>
        <v>0</v>
      </c>
      <c r="D7" s="45"/>
      <c r="E7" s="45"/>
      <c r="F7" s="59"/>
      <c r="G7" s="59"/>
      <c r="H7" s="46"/>
      <c r="I7" s="59"/>
      <c r="J7" s="59"/>
      <c r="K7" s="46"/>
    </row>
    <row r="8" spans="1:11" s="27" customFormat="1" x14ac:dyDescent="0.25">
      <c r="A8" s="50" t="s">
        <v>68</v>
      </c>
      <c r="C8" s="45">
        <f>+Einzelaufstellung!P36</f>
        <v>6616.5</v>
      </c>
      <c r="D8" s="45"/>
      <c r="E8" s="45"/>
      <c r="F8" s="59">
        <f>+C8</f>
        <v>6616.5</v>
      </c>
      <c r="G8" s="59" t="s">
        <v>25</v>
      </c>
      <c r="H8" s="46"/>
      <c r="I8" s="59">
        <f>+F8/1.07</f>
        <v>6183.6448598130837</v>
      </c>
      <c r="J8" s="59"/>
      <c r="K8" s="46"/>
    </row>
    <row r="9" spans="1:11" s="27" customFormat="1" x14ac:dyDescent="0.25">
      <c r="C9" s="45"/>
      <c r="F9" s="58"/>
      <c r="G9" s="58"/>
      <c r="H9" s="1"/>
      <c r="I9" s="58"/>
      <c r="J9" s="58"/>
      <c r="K9" s="1"/>
    </row>
    <row r="10" spans="1:11" s="27" customFormat="1" x14ac:dyDescent="0.25">
      <c r="A10" s="1" t="s">
        <v>11</v>
      </c>
      <c r="C10" s="46">
        <f>SUM(C4:C9)</f>
        <v>14671.5</v>
      </c>
      <c r="F10" s="59">
        <f>+C10</f>
        <v>14671.5</v>
      </c>
      <c r="G10" s="59"/>
      <c r="H10" s="1"/>
      <c r="I10" s="59">
        <f>SUM(I4:I8)</f>
        <v>13711.682242990653</v>
      </c>
      <c r="J10" s="59"/>
      <c r="K10" s="1"/>
    </row>
    <row r="11" spans="1:11" s="27" customFormat="1" x14ac:dyDescent="0.25">
      <c r="C11" s="45"/>
      <c r="F11" s="58"/>
      <c r="G11" s="58"/>
      <c r="H11" s="1"/>
      <c r="I11" s="58"/>
      <c r="J11" s="58"/>
      <c r="K11" s="1"/>
    </row>
    <row r="12" spans="1:11" x14ac:dyDescent="0.25">
      <c r="A12" t="s">
        <v>29</v>
      </c>
      <c r="C12" s="45">
        <f>-Einzelaufstellung!P30</f>
        <v>0</v>
      </c>
      <c r="F12" s="61"/>
      <c r="G12" s="61"/>
      <c r="H12" s="47"/>
      <c r="I12" s="61"/>
      <c r="J12" s="61"/>
    </row>
    <row r="13" spans="1:11" x14ac:dyDescent="0.25">
      <c r="A13" t="s">
        <v>15</v>
      </c>
      <c r="C13" s="45">
        <f>+Einzelaufstellung!V36</f>
        <v>650</v>
      </c>
      <c r="F13" s="58"/>
      <c r="G13" s="58"/>
      <c r="I13" s="58"/>
      <c r="J13" s="58"/>
    </row>
    <row r="14" spans="1:11" s="27" customFormat="1" x14ac:dyDescent="0.25">
      <c r="A14" s="27" t="s">
        <v>30</v>
      </c>
      <c r="C14" s="45">
        <f>-Einzelaufstellung!P32</f>
        <v>0</v>
      </c>
      <c r="D14" s="45"/>
      <c r="F14" s="58"/>
      <c r="G14" s="58"/>
      <c r="H14" s="1"/>
      <c r="I14" s="58"/>
      <c r="J14" s="58"/>
      <c r="K14" s="1"/>
    </row>
    <row r="15" spans="1:11" x14ac:dyDescent="0.25">
      <c r="A15" s="50" t="s">
        <v>44</v>
      </c>
      <c r="C15" s="51">
        <f>-Einzelaufstellung!D31</f>
        <v>0</v>
      </c>
      <c r="D15" s="45"/>
      <c r="E15" s="45"/>
      <c r="F15" s="60"/>
      <c r="G15" s="60"/>
      <c r="H15" s="46"/>
      <c r="I15" s="60"/>
      <c r="J15" s="60"/>
      <c r="K15" s="46"/>
    </row>
    <row r="16" spans="1:11" x14ac:dyDescent="0.25">
      <c r="D16" s="45"/>
      <c r="E16" s="45"/>
      <c r="F16" s="60"/>
      <c r="G16" s="60"/>
      <c r="H16" s="46"/>
      <c r="I16" s="60"/>
      <c r="J16" s="60"/>
      <c r="K16" s="46"/>
    </row>
    <row r="17" spans="1:11" x14ac:dyDescent="0.25">
      <c r="A17" s="63" t="s">
        <v>6</v>
      </c>
      <c r="B17" s="63"/>
      <c r="C17" s="64">
        <f>SUM(C10:C15)</f>
        <v>15321.5</v>
      </c>
      <c r="D17" s="45"/>
      <c r="E17" s="45"/>
      <c r="F17" s="60"/>
      <c r="G17" s="60"/>
      <c r="H17" s="46"/>
      <c r="I17" s="60"/>
      <c r="J17" s="60"/>
      <c r="K17" s="46"/>
    </row>
    <row r="18" spans="1:11" x14ac:dyDescent="0.25">
      <c r="D18" s="45"/>
      <c r="E18" s="45"/>
      <c r="F18" s="60"/>
      <c r="G18" s="60"/>
      <c r="H18" s="46"/>
      <c r="I18" s="60"/>
      <c r="J18" s="60"/>
      <c r="K18" s="46"/>
    </row>
    <row r="19" spans="1:11" s="27" customFormat="1" x14ac:dyDescent="0.25">
      <c r="A19" s="27" t="s">
        <v>70</v>
      </c>
      <c r="C19" s="57">
        <f>+Einzelaufstellung!Q60</f>
        <v>8182</v>
      </c>
      <c r="D19" s="45"/>
      <c r="E19" s="45"/>
      <c r="F19" s="60">
        <f>+C19</f>
        <v>8182</v>
      </c>
      <c r="G19" s="60" t="s">
        <v>32</v>
      </c>
      <c r="H19" s="46"/>
      <c r="I19" s="60">
        <f>+F19/1.07</f>
        <v>7646.728971962616</v>
      </c>
      <c r="J19" s="60"/>
      <c r="K19" s="46"/>
    </row>
    <row r="20" spans="1:11" s="27" customFormat="1" x14ac:dyDescent="0.25">
      <c r="A20" s="27" t="s">
        <v>71</v>
      </c>
      <c r="C20" s="57">
        <f>+Einzelaufstellung!U60</f>
        <v>1036.76</v>
      </c>
      <c r="D20" s="45"/>
      <c r="E20" s="45"/>
      <c r="F20" s="60">
        <f>+C20</f>
        <v>1036.76</v>
      </c>
      <c r="G20" s="60" t="s">
        <v>33</v>
      </c>
      <c r="H20" s="46"/>
      <c r="I20" s="60">
        <f>+F20/1.19</f>
        <v>871.22689075630251</v>
      </c>
      <c r="J20" s="60"/>
      <c r="K20" s="46"/>
    </row>
    <row r="21" spans="1:11" s="27" customFormat="1" x14ac:dyDescent="0.25">
      <c r="A21" s="27" t="s">
        <v>72</v>
      </c>
      <c r="C21" s="57">
        <f>+Einzelaufstellung!Q74</f>
        <v>8750</v>
      </c>
      <c r="D21" s="45"/>
      <c r="E21" s="45"/>
      <c r="F21" s="60">
        <f>+C21</f>
        <v>8750</v>
      </c>
      <c r="G21" s="60" t="s">
        <v>32</v>
      </c>
      <c r="H21" s="46"/>
      <c r="I21" s="60">
        <f>+F21/1.07</f>
        <v>8177.5700934579436</v>
      </c>
      <c r="J21" s="60"/>
      <c r="K21" s="46"/>
    </row>
    <row r="22" spans="1:11" s="27" customFormat="1" x14ac:dyDescent="0.25">
      <c r="A22" s="27" t="s">
        <v>73</v>
      </c>
      <c r="C22" s="57">
        <f>+Einzelaufstellung!U74</f>
        <v>1102.78</v>
      </c>
      <c r="D22" s="45"/>
      <c r="E22" s="45"/>
      <c r="F22" s="60">
        <f>+C22</f>
        <v>1102.78</v>
      </c>
      <c r="G22" s="60" t="s">
        <v>33</v>
      </c>
      <c r="H22" s="46"/>
      <c r="I22" s="60">
        <f>+F22/1.19</f>
        <v>926.70588235294122</v>
      </c>
      <c r="J22" s="60"/>
      <c r="K22" s="46"/>
    </row>
    <row r="23" spans="1:11" s="27" customFormat="1" x14ac:dyDescent="0.25">
      <c r="C23" s="57"/>
      <c r="D23" s="45"/>
      <c r="E23" s="45"/>
      <c r="F23" s="60"/>
      <c r="G23" s="60"/>
      <c r="H23" s="46"/>
      <c r="I23" s="60"/>
      <c r="J23" s="60"/>
      <c r="K23" s="46"/>
    </row>
    <row r="24" spans="1:11" s="27" customFormat="1" x14ac:dyDescent="0.25">
      <c r="A24" s="27" t="s">
        <v>10</v>
      </c>
      <c r="C24" s="57">
        <f>SUM(C19:C23)</f>
        <v>19071.54</v>
      </c>
      <c r="D24" s="45"/>
      <c r="E24" s="45"/>
      <c r="F24" s="60"/>
      <c r="G24" s="60"/>
      <c r="H24" s="46"/>
      <c r="I24" s="60"/>
      <c r="J24" s="60"/>
      <c r="K24" s="46"/>
    </row>
    <row r="25" spans="1:11" s="27" customFormat="1" x14ac:dyDescent="0.25">
      <c r="C25" s="57"/>
      <c r="D25" s="45"/>
      <c r="E25" s="45"/>
      <c r="F25" s="60"/>
      <c r="G25" s="60"/>
      <c r="H25" s="46"/>
      <c r="I25" s="60"/>
      <c r="J25" s="60"/>
      <c r="K25" s="46"/>
    </row>
    <row r="26" spans="1:11" s="27" customFormat="1" x14ac:dyDescent="0.25">
      <c r="A26" s="27" t="s">
        <v>22</v>
      </c>
      <c r="C26" s="57"/>
      <c r="D26" s="45"/>
      <c r="E26" s="45"/>
      <c r="F26" s="60"/>
      <c r="G26" s="60"/>
      <c r="H26" s="46"/>
      <c r="I26" s="60"/>
      <c r="J26" s="60"/>
      <c r="K26" s="46"/>
    </row>
    <row r="27" spans="1:11" s="27" customFormat="1" x14ac:dyDescent="0.25">
      <c r="A27" s="27" t="s">
        <v>74</v>
      </c>
      <c r="C27" s="57">
        <f>+(456-130)*13</f>
        <v>4238</v>
      </c>
      <c r="D27" s="45" t="s">
        <v>23</v>
      </c>
      <c r="E27" s="45"/>
      <c r="F27" s="60">
        <f>+C27</f>
        <v>4238</v>
      </c>
      <c r="G27" s="60"/>
      <c r="H27" s="46"/>
      <c r="I27" s="60">
        <f>+F27/1.19</f>
        <v>3561.3445378151264</v>
      </c>
      <c r="J27" s="60"/>
      <c r="K27" s="46"/>
    </row>
    <row r="28" spans="1:11" s="27" customFormat="1" x14ac:dyDescent="0.25">
      <c r="A28" s="27" t="s">
        <v>75</v>
      </c>
      <c r="D28" s="45"/>
      <c r="E28" s="45"/>
      <c r="F28" s="60"/>
      <c r="G28" s="60"/>
      <c r="H28" s="46"/>
      <c r="I28" s="60"/>
      <c r="J28" s="60"/>
      <c r="K28" s="46"/>
    </row>
    <row r="29" spans="1:11" s="27" customFormat="1" x14ac:dyDescent="0.25">
      <c r="A29" s="27" t="s">
        <v>35</v>
      </c>
      <c r="C29" s="57"/>
      <c r="D29" s="45"/>
      <c r="E29" s="45"/>
      <c r="F29" s="60">
        <v>0</v>
      </c>
      <c r="G29" s="60" t="s">
        <v>36</v>
      </c>
      <c r="H29" s="46"/>
      <c r="I29" s="60">
        <f>+F29/1.19</f>
        <v>0</v>
      </c>
      <c r="J29" s="60"/>
      <c r="K29" s="46"/>
    </row>
    <row r="30" spans="1:11" s="27" customFormat="1" x14ac:dyDescent="0.25">
      <c r="C30" s="57"/>
      <c r="D30" s="45"/>
      <c r="E30" s="45"/>
      <c r="F30" s="60"/>
      <c r="G30" s="60"/>
      <c r="H30" s="46"/>
      <c r="I30" s="60"/>
      <c r="J30" s="60"/>
      <c r="K30" s="46"/>
    </row>
    <row r="31" spans="1:11" s="1" customFormat="1" x14ac:dyDescent="0.25">
      <c r="A31" s="58" t="s">
        <v>13</v>
      </c>
      <c r="B31" s="58"/>
      <c r="C31" s="60"/>
      <c r="D31" s="60"/>
      <c r="E31" s="60"/>
      <c r="F31" s="62">
        <f>SUM(F10:F30)</f>
        <v>37981.040000000001</v>
      </c>
      <c r="G31" s="62" t="s">
        <v>34</v>
      </c>
      <c r="H31" s="46"/>
      <c r="I31" s="62">
        <f>SUM(I10:I29)</f>
        <v>34895.258619335582</v>
      </c>
      <c r="J31" s="62"/>
      <c r="K31" s="46"/>
    </row>
    <row r="32" spans="1:11" s="27" customFormat="1" x14ac:dyDescent="0.25">
      <c r="C32" s="45"/>
      <c r="D32" s="45"/>
      <c r="E32" s="45"/>
      <c r="F32" s="46"/>
      <c r="G32" s="46"/>
      <c r="H32" s="46"/>
      <c r="I32" s="46"/>
      <c r="J32" s="46"/>
      <c r="K32" s="46"/>
    </row>
    <row r="33" spans="3:11" s="27" customFormat="1" x14ac:dyDescent="0.25">
      <c r="C33" s="45"/>
      <c r="D33" s="45"/>
      <c r="E33" s="45"/>
      <c r="F33" s="46"/>
      <c r="G33" s="46"/>
      <c r="H33" s="46"/>
      <c r="I33" s="46"/>
      <c r="J33" s="46"/>
      <c r="K33" s="46"/>
    </row>
    <row r="34" spans="3:11" x14ac:dyDescent="0.25">
      <c r="D34" s="45"/>
      <c r="E34" s="45"/>
      <c r="F34" s="46"/>
      <c r="G34" s="46"/>
      <c r="H34" s="46"/>
      <c r="I34" s="46"/>
      <c r="J34" s="46"/>
      <c r="K34" s="49"/>
    </row>
    <row r="35" spans="3:11" x14ac:dyDescent="0.25">
      <c r="D35" s="45"/>
      <c r="E35" s="45"/>
      <c r="F35" s="46"/>
      <c r="G35" s="46"/>
      <c r="H35" s="46"/>
      <c r="I35" s="46"/>
      <c r="J35" s="46"/>
      <c r="K35" s="49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88E-3CD9-4013-8FBB-0E938FFB22A9}">
  <dimension ref="A1:C10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45</v>
      </c>
      <c r="C1">
        <v>2500</v>
      </c>
    </row>
    <row r="2" spans="1:3" x14ac:dyDescent="0.25">
      <c r="A2" t="s">
        <v>46</v>
      </c>
      <c r="C2">
        <v>2000</v>
      </c>
    </row>
    <row r="3" spans="1:3" x14ac:dyDescent="0.25">
      <c r="A3" t="s">
        <v>47</v>
      </c>
      <c r="C3">
        <f>6*350</f>
        <v>2100</v>
      </c>
    </row>
    <row r="4" spans="1:3" x14ac:dyDescent="0.25">
      <c r="A4" t="s">
        <v>48</v>
      </c>
      <c r="C4">
        <v>2300</v>
      </c>
    </row>
    <row r="5" spans="1:3" x14ac:dyDescent="0.25">
      <c r="A5" t="s">
        <v>49</v>
      </c>
      <c r="C5">
        <v>600</v>
      </c>
    </row>
    <row r="6" spans="1:3" x14ac:dyDescent="0.25">
      <c r="A6" t="s">
        <v>50</v>
      </c>
      <c r="C6">
        <v>2000</v>
      </c>
    </row>
    <row r="7" spans="1:3" s="27" customFormat="1" x14ac:dyDescent="0.25">
      <c r="A7" s="27" t="s">
        <v>52</v>
      </c>
      <c r="C7" s="27">
        <v>1000</v>
      </c>
    </row>
    <row r="8" spans="1:3" x14ac:dyDescent="0.25">
      <c r="A8" t="s">
        <v>51</v>
      </c>
      <c r="C8">
        <v>450</v>
      </c>
    </row>
    <row r="10" spans="1:3" x14ac:dyDescent="0.25">
      <c r="C10">
        <f>SUM(C1:C9)</f>
        <v>12950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0CA2-E18B-4382-9D84-FD008C83F890}">
  <dimension ref="A1:AF76"/>
  <sheetViews>
    <sheetView workbookViewId="0">
      <selection activeCell="F5" sqref="F5"/>
    </sheetView>
  </sheetViews>
  <sheetFormatPr baseColWidth="10" defaultRowHeight="15" x14ac:dyDescent="0.25"/>
  <cols>
    <col min="3" max="7" width="11.42578125" customWidth="1"/>
    <col min="8" max="9" width="11.42578125" hidden="1" customWidth="1"/>
    <col min="10" max="10" width="12" hidden="1" customWidth="1"/>
    <col min="11" max="13" width="11.42578125" style="27" hidden="1" customWidth="1"/>
    <col min="14" max="15" width="11.42578125" style="27" customWidth="1"/>
    <col min="16" max="16" width="12" style="27" bestFit="1" customWidth="1"/>
    <col min="17" max="17" width="11.42578125" style="27" customWidth="1"/>
    <col min="18" max="19" width="11.42578125" style="27" hidden="1" customWidth="1"/>
    <col min="20" max="20" width="11.42578125" hidden="1" customWidth="1"/>
    <col min="21" max="22" width="11.42578125" customWidth="1"/>
    <col min="23" max="23" width="11.42578125" style="27" customWidth="1"/>
    <col min="24" max="25" width="11.42578125" style="27"/>
    <col min="28" max="28" width="12" bestFit="1" customWidth="1"/>
    <col min="29" max="29" width="11.42578125" style="27"/>
    <col min="31" max="31" width="12" bestFit="1" customWidth="1"/>
  </cols>
  <sheetData>
    <row r="1" spans="1:32" x14ac:dyDescent="0.25">
      <c r="A1" s="1" t="s">
        <v>0</v>
      </c>
    </row>
    <row r="4" spans="1:32" ht="30.75" customHeight="1" x14ac:dyDescent="0.25">
      <c r="A4" s="16"/>
      <c r="B4" s="17"/>
      <c r="C4" s="67" t="s">
        <v>53</v>
      </c>
      <c r="D4" s="68"/>
      <c r="E4" s="17"/>
      <c r="F4" s="67" t="s">
        <v>76</v>
      </c>
      <c r="G4" s="68"/>
      <c r="H4" s="17"/>
      <c r="I4" s="67" t="s">
        <v>24</v>
      </c>
      <c r="J4" s="68"/>
      <c r="K4" s="43"/>
      <c r="L4" s="67" t="s">
        <v>26</v>
      </c>
      <c r="M4" s="67"/>
      <c r="N4" s="43"/>
      <c r="O4" s="67" t="s">
        <v>63</v>
      </c>
      <c r="P4" s="67"/>
      <c r="Q4" s="43"/>
      <c r="R4" s="67"/>
      <c r="S4" s="67"/>
      <c r="T4" s="17"/>
      <c r="U4" s="67" t="s">
        <v>54</v>
      </c>
      <c r="V4" s="67"/>
      <c r="W4" s="43"/>
      <c r="X4" s="69" t="s">
        <v>55</v>
      </c>
      <c r="Y4" s="70"/>
      <c r="Z4" s="17"/>
      <c r="AA4" s="68" t="s">
        <v>1</v>
      </c>
      <c r="AB4" s="68"/>
      <c r="AC4" s="43"/>
      <c r="AD4" s="68" t="s">
        <v>62</v>
      </c>
      <c r="AE4" s="68"/>
    </row>
    <row r="5" spans="1:32" x14ac:dyDescent="0.25">
      <c r="A5" s="6" t="s">
        <v>2</v>
      </c>
      <c r="B5" s="8"/>
      <c r="C5" s="3" t="s">
        <v>3</v>
      </c>
      <c r="D5" s="3" t="s">
        <v>4</v>
      </c>
      <c r="E5" s="8"/>
      <c r="F5" s="3" t="s">
        <v>3</v>
      </c>
      <c r="G5" s="3" t="s">
        <v>4</v>
      </c>
      <c r="H5" s="8"/>
      <c r="I5" s="3" t="s">
        <v>3</v>
      </c>
      <c r="J5" s="3" t="s">
        <v>4</v>
      </c>
      <c r="K5" s="34"/>
      <c r="L5" s="29" t="s">
        <v>3</v>
      </c>
      <c r="M5" s="29" t="s">
        <v>4</v>
      </c>
      <c r="N5" s="34"/>
      <c r="O5" s="29" t="s">
        <v>3</v>
      </c>
      <c r="P5" s="29" t="s">
        <v>4</v>
      </c>
      <c r="Q5" s="34"/>
      <c r="R5" s="29" t="s">
        <v>3</v>
      </c>
      <c r="S5" s="29" t="s">
        <v>4</v>
      </c>
      <c r="T5" s="8"/>
      <c r="U5" s="3" t="s">
        <v>3</v>
      </c>
      <c r="V5" s="3" t="s">
        <v>4</v>
      </c>
      <c r="W5" s="34"/>
      <c r="X5" s="29" t="s">
        <v>3</v>
      </c>
      <c r="Y5" s="29" t="s">
        <v>4</v>
      </c>
      <c r="Z5" s="8"/>
      <c r="AA5" s="3" t="s">
        <v>3</v>
      </c>
      <c r="AB5" s="3" t="s">
        <v>4</v>
      </c>
      <c r="AC5" s="34"/>
      <c r="AD5" s="29" t="s">
        <v>3</v>
      </c>
      <c r="AE5" s="29" t="s">
        <v>4</v>
      </c>
    </row>
    <row r="6" spans="1:32" x14ac:dyDescent="0.25">
      <c r="A6" s="4"/>
      <c r="B6" s="7"/>
      <c r="C6" s="13"/>
      <c r="D6" s="4"/>
      <c r="E6" s="7"/>
      <c r="F6" s="13"/>
      <c r="G6" s="4"/>
      <c r="H6" s="7"/>
      <c r="I6" s="13"/>
      <c r="J6" s="4"/>
      <c r="K6" s="33"/>
      <c r="L6" s="40"/>
      <c r="M6" s="30"/>
      <c r="N6" s="33"/>
      <c r="O6" s="40"/>
      <c r="P6" s="30"/>
      <c r="Q6" s="33"/>
      <c r="R6" s="40"/>
      <c r="S6" s="30"/>
      <c r="T6" s="7"/>
      <c r="U6" s="13"/>
      <c r="V6" s="4"/>
      <c r="W6" s="33"/>
      <c r="X6" s="40"/>
      <c r="Y6" s="30"/>
      <c r="Z6" s="7"/>
      <c r="AA6" s="13"/>
      <c r="AB6" s="4"/>
      <c r="AC6" s="33"/>
      <c r="AD6" s="40"/>
      <c r="AE6" s="30"/>
    </row>
    <row r="7" spans="1:32" x14ac:dyDescent="0.25">
      <c r="A7" s="5">
        <v>100</v>
      </c>
      <c r="B7" s="2"/>
      <c r="C7" s="14">
        <v>9</v>
      </c>
      <c r="D7" s="38">
        <f>+C7*$A$7</f>
        <v>900</v>
      </c>
      <c r="E7" s="2"/>
      <c r="F7" s="14">
        <v>5</v>
      </c>
      <c r="G7" s="38">
        <f>+F7*$A$7</f>
        <v>500</v>
      </c>
      <c r="H7" s="2"/>
      <c r="I7" s="41"/>
      <c r="J7" s="38">
        <f>+I7*$A$7</f>
        <v>0</v>
      </c>
      <c r="L7" s="41"/>
      <c r="M7" s="38">
        <f>+L7*$A$7</f>
        <v>0</v>
      </c>
      <c r="O7" s="41">
        <v>8</v>
      </c>
      <c r="P7" s="38">
        <f>+O7*$A$7</f>
        <v>800</v>
      </c>
      <c r="R7" s="41"/>
      <c r="S7" s="38">
        <f>+R7*$A$7</f>
        <v>0</v>
      </c>
      <c r="T7" s="2"/>
      <c r="U7" s="14"/>
      <c r="V7" s="38">
        <f>+U7*$A$7</f>
        <v>0</v>
      </c>
      <c r="X7" s="41"/>
      <c r="Y7" s="38">
        <f>+X7*$A$7</f>
        <v>0</v>
      </c>
      <c r="Z7" s="2"/>
      <c r="AA7" s="41">
        <f>+X7+U7+I7+F7+C7+L7+R7+O7</f>
        <v>22</v>
      </c>
      <c r="AB7" s="38">
        <f>+AA7*$A$7</f>
        <v>2200</v>
      </c>
      <c r="AD7" s="41">
        <v>22</v>
      </c>
      <c r="AE7" s="38">
        <f>+AD7*$A$7</f>
        <v>2200</v>
      </c>
      <c r="AF7" s="44"/>
    </row>
    <row r="8" spans="1:32" x14ac:dyDescent="0.25">
      <c r="A8" s="5">
        <v>50</v>
      </c>
      <c r="B8" s="2"/>
      <c r="C8" s="14">
        <v>59</v>
      </c>
      <c r="D8" s="38">
        <f>+C8*$A$8</f>
        <v>2950</v>
      </c>
      <c r="E8" s="2"/>
      <c r="F8" s="14">
        <v>13</v>
      </c>
      <c r="G8" s="38">
        <f>+F8*$A$8</f>
        <v>650</v>
      </c>
      <c r="H8" s="2"/>
      <c r="I8" s="41"/>
      <c r="J8" s="38">
        <f>+I8*$A$8</f>
        <v>0</v>
      </c>
      <c r="L8" s="41"/>
      <c r="M8" s="38">
        <f>+L8*$A$8</f>
        <v>0</v>
      </c>
      <c r="O8" s="41">
        <v>70</v>
      </c>
      <c r="P8" s="38">
        <f>+O8*$A$8</f>
        <v>3500</v>
      </c>
      <c r="R8" s="41"/>
      <c r="S8" s="38">
        <f>+R8*$A$8</f>
        <v>0</v>
      </c>
      <c r="T8" s="2"/>
      <c r="U8" s="41">
        <v>0</v>
      </c>
      <c r="V8" s="38">
        <f>+U8*$A$8</f>
        <v>0</v>
      </c>
      <c r="X8" s="41">
        <v>0</v>
      </c>
      <c r="Y8" s="38">
        <f>+X8*$A$8</f>
        <v>0</v>
      </c>
      <c r="Z8" s="2"/>
      <c r="AA8" s="41">
        <f t="shared" ref="AA8:AA19" si="0">+X8+U8+I8+F8+C8+L8+R8+O8</f>
        <v>142</v>
      </c>
      <c r="AB8" s="38">
        <f>+AA8*$A$8</f>
        <v>7100</v>
      </c>
      <c r="AD8" s="41">
        <f>66+76</f>
        <v>142</v>
      </c>
      <c r="AE8" s="38">
        <f>+AD8*$A$8</f>
        <v>7100</v>
      </c>
    </row>
    <row r="9" spans="1:32" x14ac:dyDescent="0.25">
      <c r="A9" s="5">
        <v>20</v>
      </c>
      <c r="B9" s="2"/>
      <c r="C9" s="14">
        <v>83</v>
      </c>
      <c r="D9" s="38">
        <f>+C9*$A$9</f>
        <v>1660</v>
      </c>
      <c r="E9" s="2"/>
      <c r="F9" s="14">
        <v>20</v>
      </c>
      <c r="G9" s="38">
        <f>+F9*$A$9</f>
        <v>400</v>
      </c>
      <c r="H9" s="2"/>
      <c r="I9" s="41"/>
      <c r="J9" s="38">
        <f>+I9*$A$9</f>
        <v>0</v>
      </c>
      <c r="L9" s="41"/>
      <c r="M9" s="38">
        <f>+L9*$A$9</f>
        <v>0</v>
      </c>
      <c r="O9" s="41">
        <v>96</v>
      </c>
      <c r="P9" s="38">
        <f>+O9*$A$9</f>
        <v>1920</v>
      </c>
      <c r="R9" s="41"/>
      <c r="S9" s="38">
        <f>+R9*$A$9</f>
        <v>0</v>
      </c>
      <c r="T9" s="2"/>
      <c r="U9" s="41">
        <v>0</v>
      </c>
      <c r="V9" s="38">
        <f>+U9*$A$9</f>
        <v>0</v>
      </c>
      <c r="X9" s="41">
        <v>20</v>
      </c>
      <c r="Y9" s="38">
        <f>+X9*$A$9</f>
        <v>400</v>
      </c>
      <c r="Z9" s="2" t="s">
        <v>31</v>
      </c>
      <c r="AA9" s="41">
        <f t="shared" si="0"/>
        <v>219</v>
      </c>
      <c r="AB9" s="38">
        <f>+AA9*$A$9</f>
        <v>4380</v>
      </c>
      <c r="AC9" s="27" t="s">
        <v>31</v>
      </c>
      <c r="AD9" s="41">
        <f>94+85</f>
        <v>179</v>
      </c>
      <c r="AE9" s="38">
        <f>+AD9*$A$9</f>
        <v>3580</v>
      </c>
    </row>
    <row r="10" spans="1:32" x14ac:dyDescent="0.25">
      <c r="A10" s="5">
        <v>10</v>
      </c>
      <c r="B10" s="2"/>
      <c r="C10" s="14">
        <v>110</v>
      </c>
      <c r="D10" s="38">
        <f>+C10*$A$10</f>
        <v>1100</v>
      </c>
      <c r="E10" s="2"/>
      <c r="F10" s="14">
        <v>6</v>
      </c>
      <c r="G10" s="38">
        <f>+F10*$A$10</f>
        <v>60</v>
      </c>
      <c r="H10" s="2"/>
      <c r="I10" s="41"/>
      <c r="J10" s="38">
        <f>+I10*$A$10</f>
        <v>0</v>
      </c>
      <c r="L10" s="41"/>
      <c r="M10" s="38">
        <f>+L10*$A$10</f>
        <v>0</v>
      </c>
      <c r="O10" s="41">
        <v>117</v>
      </c>
      <c r="P10" s="38">
        <f>+O10*$A$10</f>
        <v>1170</v>
      </c>
      <c r="R10" s="41"/>
      <c r="S10" s="38">
        <f>+R10*$A$10</f>
        <v>0</v>
      </c>
      <c r="T10" s="2"/>
      <c r="U10" s="41">
        <v>30</v>
      </c>
      <c r="V10" s="38">
        <f>+U10*$A$10</f>
        <v>300</v>
      </c>
      <c r="X10" s="41">
        <v>30</v>
      </c>
      <c r="Y10" s="38">
        <f>+X10*$A$10</f>
        <v>300</v>
      </c>
      <c r="Z10" s="2"/>
      <c r="AA10" s="41">
        <f t="shared" si="0"/>
        <v>293</v>
      </c>
      <c r="AB10" s="38">
        <f>+AA10*$A$10</f>
        <v>2930</v>
      </c>
      <c r="AD10" s="41">
        <f>107+96</f>
        <v>203</v>
      </c>
      <c r="AE10" s="38">
        <f>+AD10*$A$10</f>
        <v>2030</v>
      </c>
    </row>
    <row r="11" spans="1:32" x14ac:dyDescent="0.25">
      <c r="A11" s="5">
        <v>5</v>
      </c>
      <c r="B11" s="2"/>
      <c r="C11" s="14">
        <v>34</v>
      </c>
      <c r="D11" s="38">
        <f>+C11*$A$11</f>
        <v>170</v>
      </c>
      <c r="E11" s="2"/>
      <c r="F11" s="14">
        <v>16</v>
      </c>
      <c r="G11" s="38">
        <f>+F11*$A$11</f>
        <v>80</v>
      </c>
      <c r="H11" s="2"/>
      <c r="I11" s="41"/>
      <c r="J11" s="38">
        <f>+I11*$A$11</f>
        <v>0</v>
      </c>
      <c r="L11" s="41"/>
      <c r="M11" s="38">
        <f>+L11*$A$11</f>
        <v>0</v>
      </c>
      <c r="O11" s="41">
        <v>19</v>
      </c>
      <c r="P11" s="38">
        <f>+O11*$A$11</f>
        <v>95</v>
      </c>
      <c r="R11" s="41"/>
      <c r="S11" s="38">
        <f>+R11*$A$11</f>
        <v>0</v>
      </c>
      <c r="T11" s="2"/>
      <c r="U11" s="41">
        <v>20</v>
      </c>
      <c r="V11" s="38">
        <f>+U11*$A$11</f>
        <v>100</v>
      </c>
      <c r="X11" s="41">
        <v>30</v>
      </c>
      <c r="Y11" s="38">
        <f>+X11*$A$11</f>
        <v>150</v>
      </c>
      <c r="Z11" s="2"/>
      <c r="AA11" s="41">
        <f t="shared" si="0"/>
        <v>119</v>
      </c>
      <c r="AB11" s="38">
        <f>+AA11*$A$11</f>
        <v>595</v>
      </c>
      <c r="AD11" s="41">
        <v>39</v>
      </c>
      <c r="AE11" s="38">
        <f>+AD11*$A$11</f>
        <v>195</v>
      </c>
    </row>
    <row r="12" spans="1:32" x14ac:dyDescent="0.25">
      <c r="A12" s="5">
        <v>2</v>
      </c>
      <c r="B12" s="2"/>
      <c r="C12" s="14">
        <v>5</v>
      </c>
      <c r="D12" s="38">
        <f>+C12*$A$12</f>
        <v>10</v>
      </c>
      <c r="E12" s="2"/>
      <c r="F12" s="14"/>
      <c r="G12" s="38">
        <f>+F12*$A$12</f>
        <v>0</v>
      </c>
      <c r="H12" s="2"/>
      <c r="I12" s="41"/>
      <c r="J12" s="38">
        <f>+I12*$A$12</f>
        <v>0</v>
      </c>
      <c r="L12" s="41"/>
      <c r="M12" s="38">
        <f>+L12*$A$12</f>
        <v>0</v>
      </c>
      <c r="O12" s="41">
        <v>5</v>
      </c>
      <c r="P12" s="38">
        <f>+O12*$A$12</f>
        <v>10</v>
      </c>
      <c r="R12" s="41"/>
      <c r="S12" s="38">
        <f>+R12*$A$12</f>
        <v>0</v>
      </c>
      <c r="T12" s="2"/>
      <c r="U12" s="41">
        <v>0</v>
      </c>
      <c r="V12" s="38">
        <f>+U12*$A$12</f>
        <v>0</v>
      </c>
      <c r="X12" s="41">
        <v>5</v>
      </c>
      <c r="Y12" s="38">
        <f>+X12*$A$12</f>
        <v>10</v>
      </c>
      <c r="Z12" s="2"/>
      <c r="AA12" s="41">
        <f t="shared" si="0"/>
        <v>15</v>
      </c>
      <c r="AB12" s="38">
        <f>+AA12*$A$12</f>
        <v>30</v>
      </c>
      <c r="AD12" s="41">
        <v>5</v>
      </c>
      <c r="AE12" s="38">
        <f>+AD12*$A$12</f>
        <v>10</v>
      </c>
    </row>
    <row r="13" spans="1:32" x14ac:dyDescent="0.25">
      <c r="A13" s="5">
        <v>1</v>
      </c>
      <c r="B13" s="2"/>
      <c r="C13" s="14">
        <v>225</v>
      </c>
      <c r="D13" s="38">
        <f>+C13*$A$13</f>
        <v>225</v>
      </c>
      <c r="E13" s="2"/>
      <c r="F13" s="14"/>
      <c r="G13" s="38">
        <f>+F13*$A$13</f>
        <v>0</v>
      </c>
      <c r="H13" s="2"/>
      <c r="I13" s="41"/>
      <c r="J13" s="38">
        <f>+I13*$A$13</f>
        <v>0</v>
      </c>
      <c r="L13" s="41"/>
      <c r="M13" s="38">
        <f>+L13*$A$13</f>
        <v>0</v>
      </c>
      <c r="O13" s="41">
        <v>203</v>
      </c>
      <c r="P13" s="38">
        <f>+O13*$A$13</f>
        <v>203</v>
      </c>
      <c r="R13" s="41"/>
      <c r="S13" s="38">
        <f>+R13*$A$13</f>
        <v>0</v>
      </c>
      <c r="T13" s="2"/>
      <c r="U13" s="41">
        <v>250</v>
      </c>
      <c r="V13" s="38">
        <f>+U13*$A$13</f>
        <v>250</v>
      </c>
      <c r="X13" s="41">
        <f>9*25</f>
        <v>225</v>
      </c>
      <c r="Y13" s="38">
        <f>+X13*$A$13</f>
        <v>225</v>
      </c>
      <c r="Z13" s="2"/>
      <c r="AA13" s="41">
        <f t="shared" si="0"/>
        <v>903</v>
      </c>
      <c r="AB13" s="38">
        <f>+AA13*$A$13</f>
        <v>903</v>
      </c>
      <c r="AD13" s="41">
        <f>8*25+3</f>
        <v>203</v>
      </c>
      <c r="AE13" s="38">
        <f>+AD13*$A$13</f>
        <v>203</v>
      </c>
    </row>
    <row r="14" spans="1:32" x14ac:dyDescent="0.25">
      <c r="A14" s="5">
        <v>0.5</v>
      </c>
      <c r="B14" s="2"/>
      <c r="C14" s="14"/>
      <c r="D14" s="38">
        <f>+C14*$A$14</f>
        <v>0</v>
      </c>
      <c r="E14" s="2"/>
      <c r="F14" s="14"/>
      <c r="G14" s="38">
        <f>+F14*$A$14</f>
        <v>0</v>
      </c>
      <c r="H14" s="2"/>
      <c r="I14" s="41"/>
      <c r="J14" s="38">
        <f>+I14*$A$14</f>
        <v>0</v>
      </c>
      <c r="L14" s="41"/>
      <c r="M14" s="38">
        <f>+L14*$A$14</f>
        <v>0</v>
      </c>
      <c r="O14" s="41">
        <v>5</v>
      </c>
      <c r="P14" s="38">
        <f>+O14*$A$14</f>
        <v>2.5</v>
      </c>
      <c r="R14" s="41"/>
      <c r="S14" s="38">
        <f>+R14*$A$14</f>
        <v>0</v>
      </c>
      <c r="T14" s="2"/>
      <c r="U14" s="14"/>
      <c r="V14" s="38">
        <f>+U14*$A$14</f>
        <v>0</v>
      </c>
      <c r="X14" s="53"/>
      <c r="Y14" s="54">
        <f>+X14*$A$14</f>
        <v>0</v>
      </c>
      <c r="Z14" s="2"/>
      <c r="AA14" s="41">
        <f t="shared" si="0"/>
        <v>5</v>
      </c>
      <c r="AB14" s="38">
        <f>+AA14*$A$14</f>
        <v>2.5</v>
      </c>
      <c r="AD14" s="41">
        <v>5</v>
      </c>
      <c r="AE14" s="38">
        <f>+AD14*$A$14</f>
        <v>2.5</v>
      </c>
    </row>
    <row r="15" spans="1:32" x14ac:dyDescent="0.25">
      <c r="A15" s="5">
        <v>0.2</v>
      </c>
      <c r="B15" s="2"/>
      <c r="C15" s="14"/>
      <c r="D15" s="38">
        <f>+C15*$A$15</f>
        <v>0</v>
      </c>
      <c r="E15" s="2"/>
      <c r="F15" s="14"/>
      <c r="G15" s="38">
        <f>+F15*$A$15</f>
        <v>0</v>
      </c>
      <c r="H15" s="2"/>
      <c r="I15" s="14"/>
      <c r="J15" s="38">
        <f>+I15*$A$15</f>
        <v>0</v>
      </c>
      <c r="L15" s="41"/>
      <c r="M15" s="38">
        <f>+L15*$A$15</f>
        <v>0</v>
      </c>
      <c r="O15" s="41">
        <v>5</v>
      </c>
      <c r="P15" s="38">
        <f>+O15*$A$15</f>
        <v>1</v>
      </c>
      <c r="R15" s="41"/>
      <c r="S15" s="38">
        <f>+R15*$A$15</f>
        <v>0</v>
      </c>
      <c r="T15" s="2"/>
      <c r="U15" s="14"/>
      <c r="V15" s="38">
        <f>+U15*$A$15</f>
        <v>0</v>
      </c>
      <c r="X15" s="41"/>
      <c r="Y15" s="38">
        <f>+X15*$A$15</f>
        <v>0</v>
      </c>
      <c r="Z15" s="2"/>
      <c r="AA15" s="41">
        <f t="shared" si="0"/>
        <v>5</v>
      </c>
      <c r="AB15" s="38">
        <f>+AA15*$A$15</f>
        <v>1</v>
      </c>
      <c r="AD15" s="41">
        <v>5</v>
      </c>
      <c r="AE15" s="38">
        <f>+AD15*$A$15</f>
        <v>1</v>
      </c>
    </row>
    <row r="16" spans="1:32" x14ac:dyDescent="0.25">
      <c r="A16" s="5">
        <v>0.1</v>
      </c>
      <c r="B16" s="2"/>
      <c r="C16" s="14"/>
      <c r="D16" s="38">
        <f>+C16*$A$16</f>
        <v>0</v>
      </c>
      <c r="E16" s="2"/>
      <c r="F16" s="14"/>
      <c r="G16" s="38">
        <f>+F16*$A$16</f>
        <v>0</v>
      </c>
      <c r="H16" s="2"/>
      <c r="I16" s="14"/>
      <c r="J16" s="38">
        <f>+I16*$A$16</f>
        <v>0</v>
      </c>
      <c r="L16" s="41"/>
      <c r="M16" s="38">
        <f>+L16*$A$16</f>
        <v>0</v>
      </c>
      <c r="O16" s="41"/>
      <c r="P16" s="38">
        <f>+O16*$A$16</f>
        <v>0</v>
      </c>
      <c r="R16" s="41"/>
      <c r="S16" s="38">
        <f>+R16*$A$16</f>
        <v>0</v>
      </c>
      <c r="T16" s="2"/>
      <c r="U16" s="14"/>
      <c r="V16" s="38">
        <f>+U16*$A$16</f>
        <v>0</v>
      </c>
      <c r="X16" s="41"/>
      <c r="Y16" s="38">
        <f>+X16*$A$16</f>
        <v>0</v>
      </c>
      <c r="Z16" s="2"/>
      <c r="AA16" s="41">
        <f t="shared" si="0"/>
        <v>0</v>
      </c>
      <c r="AB16" s="38">
        <f>+AA16*$A$16</f>
        <v>0</v>
      </c>
      <c r="AD16" s="41">
        <v>0</v>
      </c>
      <c r="AE16" s="38">
        <f>+AD16*$A$16</f>
        <v>0</v>
      </c>
    </row>
    <row r="17" spans="1:31" x14ac:dyDescent="0.25">
      <c r="A17" s="5">
        <v>0.05</v>
      </c>
      <c r="B17" s="2"/>
      <c r="C17" s="14"/>
      <c r="D17" s="38">
        <f>+C17*$A$17</f>
        <v>0</v>
      </c>
      <c r="E17" s="2"/>
      <c r="F17" s="14"/>
      <c r="G17" s="38">
        <f>+F17*$A$17</f>
        <v>0</v>
      </c>
      <c r="H17" s="2"/>
      <c r="I17" s="14"/>
      <c r="J17" s="38">
        <f>+I17*$A$17</f>
        <v>0</v>
      </c>
      <c r="L17" s="41"/>
      <c r="M17" s="38">
        <f>+L17*$A$17</f>
        <v>0</v>
      </c>
      <c r="O17" s="41"/>
      <c r="P17" s="38">
        <f>+O17*$A$17</f>
        <v>0</v>
      </c>
      <c r="R17" s="41"/>
      <c r="S17" s="38">
        <f>+R17*$A$17</f>
        <v>0</v>
      </c>
      <c r="T17" s="2"/>
      <c r="U17" s="14"/>
      <c r="V17" s="38">
        <f>+U17*$A$17</f>
        <v>0</v>
      </c>
      <c r="X17" s="41"/>
      <c r="Y17" s="38">
        <f>+X17*$A$17</f>
        <v>0</v>
      </c>
      <c r="Z17" s="2"/>
      <c r="AA17" s="41">
        <f t="shared" si="0"/>
        <v>0</v>
      </c>
      <c r="AB17" s="38">
        <f>+AA17*$A$17</f>
        <v>0</v>
      </c>
      <c r="AD17" s="41">
        <v>0</v>
      </c>
      <c r="AE17" s="38">
        <f>+AD17*$A$17</f>
        <v>0</v>
      </c>
    </row>
    <row r="18" spans="1:31" x14ac:dyDescent="0.25">
      <c r="A18" s="5">
        <v>0.02</v>
      </c>
      <c r="B18" s="2"/>
      <c r="C18" s="14"/>
      <c r="D18" s="38">
        <f>+C18*$A$18</f>
        <v>0</v>
      </c>
      <c r="E18" s="2"/>
      <c r="F18" s="14"/>
      <c r="G18" s="38">
        <f>+F18*$A$18</f>
        <v>0</v>
      </c>
      <c r="H18" s="2"/>
      <c r="I18" s="14"/>
      <c r="J18" s="38">
        <f>+I18*$A$18</f>
        <v>0</v>
      </c>
      <c r="L18" s="41"/>
      <c r="M18" s="38">
        <f>+L18*$A$18</f>
        <v>0</v>
      </c>
      <c r="O18" s="41"/>
      <c r="P18" s="38">
        <f>+O18*$A$18</f>
        <v>0</v>
      </c>
      <c r="R18" s="41"/>
      <c r="S18" s="38">
        <f>+R18*$A$18</f>
        <v>0</v>
      </c>
      <c r="T18" s="2"/>
      <c r="U18" s="14"/>
      <c r="V18" s="38">
        <f>+U18*$A$18</f>
        <v>0</v>
      </c>
      <c r="X18" s="41"/>
      <c r="Y18" s="38">
        <f>+X18*$A$18</f>
        <v>0</v>
      </c>
      <c r="Z18" s="2"/>
      <c r="AA18" s="41">
        <f t="shared" si="0"/>
        <v>0</v>
      </c>
      <c r="AB18" s="38">
        <f>+AA18*$A$18</f>
        <v>0</v>
      </c>
      <c r="AD18" s="41">
        <v>0</v>
      </c>
      <c r="AE18" s="38">
        <f>+AD18*$A$18</f>
        <v>0</v>
      </c>
    </row>
    <row r="19" spans="1:31" x14ac:dyDescent="0.25">
      <c r="A19" s="6">
        <v>0.01</v>
      </c>
      <c r="B19" s="8"/>
      <c r="C19" s="15"/>
      <c r="D19" s="39">
        <f>+C19*$A$19</f>
        <v>0</v>
      </c>
      <c r="E19" s="8"/>
      <c r="F19" s="15"/>
      <c r="G19" s="39">
        <f>+F19*$A$19</f>
        <v>0</v>
      </c>
      <c r="H19" s="8"/>
      <c r="I19" s="15"/>
      <c r="J19" s="39">
        <f>+I19*$A$19</f>
        <v>0</v>
      </c>
      <c r="K19" s="34"/>
      <c r="L19" s="42"/>
      <c r="M19" s="39">
        <f>+L19*$A$19</f>
        <v>0</v>
      </c>
      <c r="N19" s="34"/>
      <c r="O19" s="42"/>
      <c r="P19" s="39">
        <f>+O19*$A$19</f>
        <v>0</v>
      </c>
      <c r="Q19" s="34"/>
      <c r="R19" s="42"/>
      <c r="S19" s="39">
        <f>+R19*$A$19</f>
        <v>0</v>
      </c>
      <c r="T19" s="8"/>
      <c r="U19" s="15"/>
      <c r="V19" s="39">
        <f>+U19*$A$19</f>
        <v>0</v>
      </c>
      <c r="W19" s="34"/>
      <c r="X19" s="42"/>
      <c r="Y19" s="39">
        <f>+X19*$A$19</f>
        <v>0</v>
      </c>
      <c r="Z19" s="8"/>
      <c r="AA19" s="41">
        <f t="shared" si="0"/>
        <v>0</v>
      </c>
      <c r="AB19" s="39">
        <f>+AA19*$A$19</f>
        <v>0</v>
      </c>
      <c r="AC19" s="34"/>
      <c r="AD19" s="41">
        <v>0</v>
      </c>
      <c r="AE19" s="39">
        <f>+AD19*$A$19</f>
        <v>0</v>
      </c>
    </row>
    <row r="20" spans="1:31" x14ac:dyDescent="0.25">
      <c r="A20" s="4"/>
      <c r="B20" s="7"/>
      <c r="C20" s="9"/>
      <c r="D20" s="9"/>
      <c r="E20" s="7"/>
      <c r="F20" s="9"/>
      <c r="G20" s="9"/>
      <c r="H20" s="7"/>
      <c r="I20" s="9"/>
      <c r="J20" s="9"/>
      <c r="K20" s="33"/>
      <c r="L20" s="35"/>
      <c r="M20" s="35"/>
      <c r="N20" s="33"/>
      <c r="O20" s="35"/>
      <c r="P20" s="35"/>
      <c r="Q20" s="33"/>
      <c r="R20" s="35"/>
      <c r="S20" s="35"/>
      <c r="T20" s="7"/>
      <c r="U20" s="9"/>
      <c r="V20" s="9"/>
      <c r="W20" s="33"/>
      <c r="X20" s="35"/>
      <c r="Y20" s="35"/>
      <c r="Z20" s="7"/>
      <c r="AA20" s="9"/>
      <c r="AB20" s="9"/>
      <c r="AC20" s="33"/>
      <c r="AD20" s="35"/>
      <c r="AE20" s="35"/>
    </row>
    <row r="21" spans="1:31" x14ac:dyDescent="0.25">
      <c r="A21" s="5" t="s">
        <v>1</v>
      </c>
      <c r="B21" s="2"/>
      <c r="C21" s="10"/>
      <c r="D21" s="5">
        <f>SUM(D7:D19)</f>
        <v>7015</v>
      </c>
      <c r="E21" s="2"/>
      <c r="F21" s="10"/>
      <c r="G21" s="31">
        <f>SUM(G7:G19)</f>
        <v>1690</v>
      </c>
      <c r="H21" s="2"/>
      <c r="I21" s="10"/>
      <c r="J21" s="31">
        <f>SUM(J7:J19)</f>
        <v>0</v>
      </c>
      <c r="L21" s="36"/>
      <c r="M21" s="31">
        <f>SUM(M7:M19)</f>
        <v>0</v>
      </c>
      <c r="O21" s="36"/>
      <c r="P21" s="31">
        <f>SUM(P7:P19)</f>
        <v>7701.5</v>
      </c>
      <c r="R21" s="36"/>
      <c r="S21" s="31">
        <f>SUM(S7:S19)</f>
        <v>0</v>
      </c>
      <c r="T21" s="2"/>
      <c r="U21" s="10"/>
      <c r="V21" s="31">
        <f>SUM(V7:V19)</f>
        <v>650</v>
      </c>
      <c r="X21" s="36"/>
      <c r="Y21" s="31">
        <f>SUM(Y7:Y19)</f>
        <v>1085</v>
      </c>
      <c r="Z21" s="2"/>
      <c r="AA21" s="10"/>
      <c r="AB21" s="31">
        <f>SUM(AB7:AB19)</f>
        <v>18141.5</v>
      </c>
      <c r="AD21" s="36"/>
      <c r="AE21" s="31">
        <f>SUM(AE7:AE19)</f>
        <v>15321.5</v>
      </c>
    </row>
    <row r="22" spans="1:31" x14ac:dyDescent="0.25">
      <c r="A22" s="6"/>
      <c r="B22" s="8"/>
      <c r="C22" s="11"/>
      <c r="D22" s="11"/>
      <c r="E22" s="8"/>
      <c r="F22" s="11"/>
      <c r="G22" s="11"/>
      <c r="H22" s="8"/>
      <c r="I22" s="11"/>
      <c r="J22" s="11"/>
      <c r="K22" s="34"/>
      <c r="L22" s="37"/>
      <c r="M22" s="37"/>
      <c r="N22" s="34"/>
      <c r="O22" s="37"/>
      <c r="P22" s="37"/>
      <c r="Q22" s="34"/>
      <c r="R22" s="37"/>
      <c r="S22" s="37"/>
      <c r="T22" s="8"/>
      <c r="U22" s="11"/>
      <c r="V22" s="11"/>
      <c r="W22" s="34"/>
      <c r="X22" s="37"/>
      <c r="Y22" s="37"/>
      <c r="Z22" s="8"/>
      <c r="AA22" s="11"/>
      <c r="AB22" s="11"/>
      <c r="AC22" s="34"/>
      <c r="AD22" s="37"/>
      <c r="AE22" s="37"/>
    </row>
    <row r="23" spans="1:31" x14ac:dyDescent="0.25">
      <c r="A23" s="4"/>
      <c r="B23" s="7"/>
      <c r="C23" s="9"/>
      <c r="D23" s="9"/>
      <c r="E23" s="7"/>
      <c r="F23" s="9"/>
      <c r="G23" s="9"/>
      <c r="H23" s="7"/>
      <c r="I23" s="9"/>
      <c r="J23" s="9"/>
      <c r="K23" s="33"/>
      <c r="L23" s="35"/>
      <c r="M23" s="35"/>
      <c r="N23" s="33"/>
      <c r="O23" s="35"/>
      <c r="P23" s="35"/>
      <c r="Q23" s="33"/>
      <c r="R23" s="35"/>
      <c r="S23" s="35"/>
      <c r="T23" s="7"/>
      <c r="U23" s="9"/>
      <c r="V23" s="9"/>
      <c r="W23" s="33"/>
      <c r="X23" s="35"/>
      <c r="Y23" s="35"/>
      <c r="Z23" s="7"/>
      <c r="AA23" s="9"/>
      <c r="AB23" s="9"/>
      <c r="AC23" s="33"/>
    </row>
    <row r="24" spans="1:31" x14ac:dyDescent="0.25">
      <c r="A24" s="5" t="s">
        <v>5</v>
      </c>
      <c r="B24" s="2"/>
      <c r="C24" s="10"/>
      <c r="D24" s="5">
        <v>-650</v>
      </c>
      <c r="E24" s="2"/>
      <c r="F24" s="36"/>
      <c r="G24" s="5"/>
      <c r="H24" s="2"/>
      <c r="I24" s="10"/>
      <c r="J24" s="5"/>
      <c r="L24" s="36"/>
      <c r="M24" s="52"/>
      <c r="O24" s="36"/>
      <c r="P24" s="52">
        <f>-Y21</f>
        <v>-1085</v>
      </c>
      <c r="R24" s="36"/>
      <c r="S24" s="31"/>
      <c r="T24" s="2"/>
      <c r="U24" s="10"/>
      <c r="V24" s="5"/>
      <c r="X24" s="36"/>
      <c r="Y24" s="31">
        <v>-1085</v>
      </c>
      <c r="Z24" s="2"/>
      <c r="AA24" s="10"/>
      <c r="AB24" s="12">
        <f>SUM(D24:AA24)</f>
        <v>-2820</v>
      </c>
    </row>
    <row r="25" spans="1:31" x14ac:dyDescent="0.25">
      <c r="A25" s="6"/>
      <c r="B25" s="8"/>
      <c r="C25" s="11"/>
      <c r="D25" s="11"/>
      <c r="E25" s="8"/>
      <c r="F25" s="11"/>
      <c r="G25" s="11"/>
      <c r="H25" s="8"/>
      <c r="I25" s="11"/>
      <c r="J25" s="11"/>
      <c r="K25" s="34"/>
      <c r="L25" s="37"/>
      <c r="M25" s="37"/>
      <c r="N25" s="34"/>
      <c r="O25" s="37"/>
      <c r="P25" s="37"/>
      <c r="Q25" s="34"/>
      <c r="R25" s="37"/>
      <c r="S25" s="37"/>
      <c r="T25" s="8"/>
      <c r="U25" s="11"/>
      <c r="V25" s="11"/>
      <c r="W25" s="34"/>
      <c r="X25" s="37"/>
      <c r="Y25" s="37"/>
      <c r="Z25" s="8"/>
      <c r="AA25" s="11"/>
      <c r="AB25" s="11"/>
      <c r="AC25" s="34"/>
    </row>
    <row r="26" spans="1:31" x14ac:dyDescent="0.25">
      <c r="A26" s="19"/>
      <c r="B26" s="22"/>
      <c r="C26" s="24"/>
      <c r="D26" s="24"/>
      <c r="E26" s="22"/>
      <c r="F26" s="24"/>
      <c r="G26" s="24"/>
      <c r="H26" s="22"/>
      <c r="I26" s="24"/>
      <c r="J26" s="24"/>
      <c r="K26" s="33"/>
      <c r="L26" s="35"/>
      <c r="M26" s="35"/>
      <c r="N26" s="33"/>
      <c r="O26" s="35"/>
      <c r="P26" s="35"/>
      <c r="Q26" s="33"/>
      <c r="R26" s="35"/>
      <c r="S26" s="35"/>
      <c r="T26" s="22"/>
      <c r="U26" s="24"/>
      <c r="V26" s="24"/>
      <c r="W26" s="33"/>
      <c r="X26" s="35"/>
      <c r="Y26" s="35"/>
      <c r="Z26" s="22"/>
      <c r="AA26" s="24"/>
      <c r="AB26" s="24"/>
      <c r="AC26" s="33"/>
    </row>
    <row r="27" spans="1:31" x14ac:dyDescent="0.25">
      <c r="A27" s="20" t="s">
        <v>6</v>
      </c>
      <c r="B27" s="18"/>
      <c r="C27" s="25"/>
      <c r="D27" s="20">
        <f>+D21+D24</f>
        <v>6365</v>
      </c>
      <c r="E27" s="18"/>
      <c r="F27" s="25"/>
      <c r="G27" s="31">
        <f>+G21+G24</f>
        <v>1690</v>
      </c>
      <c r="H27" s="18"/>
      <c r="I27" s="25"/>
      <c r="J27" s="31">
        <f>+J21+J24</f>
        <v>0</v>
      </c>
      <c r="L27" s="36"/>
      <c r="M27" s="31">
        <f>+M21+M24</f>
        <v>0</v>
      </c>
      <c r="O27" s="36"/>
      <c r="P27" s="31">
        <f>+P21+P24</f>
        <v>6616.5</v>
      </c>
      <c r="R27" s="36"/>
      <c r="S27" s="31">
        <f>+S21+S24</f>
        <v>0</v>
      </c>
      <c r="T27" s="18"/>
      <c r="U27" s="25"/>
      <c r="V27" s="31">
        <f>+V21+V24</f>
        <v>650</v>
      </c>
      <c r="X27" s="36"/>
      <c r="Y27" s="31">
        <f>+Y21+Y24</f>
        <v>0</v>
      </c>
      <c r="Z27" s="18"/>
      <c r="AA27" s="25"/>
      <c r="AB27" s="31">
        <f>+AB21+AB24</f>
        <v>15321.5</v>
      </c>
      <c r="AE27" s="28">
        <f>+AE21-AB27</f>
        <v>0</v>
      </c>
    </row>
    <row r="28" spans="1:31" x14ac:dyDescent="0.25">
      <c r="A28" s="21"/>
      <c r="B28" s="23"/>
      <c r="C28" s="26"/>
      <c r="D28" s="26"/>
      <c r="E28" s="23"/>
      <c r="F28" s="26"/>
      <c r="G28" s="26"/>
      <c r="H28" s="23"/>
      <c r="I28" s="26"/>
      <c r="J28" s="26"/>
      <c r="K28" s="34"/>
      <c r="L28" s="37"/>
      <c r="M28" s="37"/>
      <c r="N28" s="34"/>
      <c r="O28" s="37"/>
      <c r="P28" s="37"/>
      <c r="Q28" s="34"/>
      <c r="R28" s="37"/>
      <c r="S28" s="37"/>
      <c r="T28" s="23"/>
      <c r="U28" s="26"/>
      <c r="V28" s="26"/>
      <c r="W28" s="34"/>
      <c r="X28" s="37"/>
      <c r="Y28" s="37"/>
      <c r="Z28" s="23"/>
      <c r="AA28" s="26"/>
      <c r="AB28" s="26"/>
      <c r="AC28" s="34"/>
    </row>
    <row r="29" spans="1:31" x14ac:dyDescent="0.25">
      <c r="A29" s="30"/>
      <c r="B29" s="33"/>
      <c r="C29" s="35"/>
      <c r="D29" s="35"/>
      <c r="E29" s="33"/>
      <c r="F29" s="35"/>
      <c r="G29" s="35"/>
      <c r="H29" s="33"/>
      <c r="I29" s="35"/>
      <c r="J29" s="35"/>
      <c r="K29" s="33"/>
      <c r="L29" s="35"/>
      <c r="M29" s="35"/>
      <c r="N29" s="33"/>
      <c r="O29" s="35"/>
      <c r="P29" s="35"/>
      <c r="Q29" s="33"/>
      <c r="R29" s="35"/>
      <c r="S29" s="35"/>
      <c r="T29" s="33"/>
      <c r="U29" s="35"/>
      <c r="V29" s="35"/>
      <c r="W29" s="33"/>
      <c r="X29" s="35"/>
      <c r="Y29" s="35"/>
      <c r="Z29" s="33"/>
      <c r="AA29" s="35"/>
      <c r="AB29" s="35"/>
      <c r="AC29" s="33"/>
    </row>
    <row r="30" spans="1:31" x14ac:dyDescent="0.25">
      <c r="A30" s="31"/>
      <c r="B30" s="27"/>
      <c r="C30" s="36"/>
      <c r="D30" s="31"/>
      <c r="E30" s="27"/>
      <c r="F30" s="36"/>
      <c r="G30" s="31"/>
      <c r="H30" s="27"/>
      <c r="I30" s="36"/>
      <c r="J30" s="31"/>
      <c r="L30" s="36"/>
      <c r="M30" s="31"/>
      <c r="O30" s="36"/>
      <c r="P30" s="31"/>
      <c r="R30" s="36"/>
      <c r="S30" s="31"/>
      <c r="T30" s="27"/>
      <c r="U30" s="36"/>
      <c r="V30" s="31"/>
      <c r="X30" s="36"/>
      <c r="Y30" s="31"/>
      <c r="Z30" s="27"/>
      <c r="AA30" s="36"/>
      <c r="AB30" s="31">
        <f>SUM(D30:AA30)</f>
        <v>0</v>
      </c>
    </row>
    <row r="31" spans="1:31" x14ac:dyDescent="0.25">
      <c r="A31" s="31"/>
      <c r="B31" s="27"/>
      <c r="C31" s="36"/>
      <c r="D31" s="31"/>
      <c r="E31" s="27"/>
      <c r="F31" s="36"/>
      <c r="G31" s="31"/>
      <c r="H31" s="27"/>
      <c r="I31" s="36"/>
      <c r="J31" s="31"/>
      <c r="L31" s="36"/>
      <c r="M31" s="31"/>
      <c r="O31" s="36"/>
      <c r="P31" s="31"/>
      <c r="R31" s="36"/>
      <c r="S31" s="31"/>
      <c r="T31" s="27"/>
      <c r="U31" s="36"/>
      <c r="V31" s="31"/>
      <c r="X31" s="36"/>
      <c r="Y31" s="31"/>
      <c r="Z31" s="27"/>
      <c r="AA31" s="36"/>
      <c r="AB31" s="31">
        <f>SUM(D31:AA31)</f>
        <v>0</v>
      </c>
    </row>
    <row r="32" spans="1:31" x14ac:dyDescent="0.25">
      <c r="A32" s="31"/>
      <c r="B32" s="27"/>
      <c r="C32" s="36"/>
      <c r="D32" s="31"/>
      <c r="E32" s="27"/>
      <c r="F32" s="36"/>
      <c r="G32" s="31"/>
      <c r="H32" s="27"/>
      <c r="I32" s="36"/>
      <c r="J32" s="31"/>
      <c r="L32" s="36"/>
      <c r="M32" s="31"/>
      <c r="O32" s="36"/>
      <c r="P32" s="31"/>
      <c r="R32" s="36"/>
      <c r="S32" s="31"/>
      <c r="T32" s="27"/>
      <c r="U32" s="36"/>
      <c r="V32" s="31"/>
      <c r="X32" s="36"/>
      <c r="Y32" s="31"/>
      <c r="Z32" s="27"/>
      <c r="AA32" s="36"/>
      <c r="AB32" s="31">
        <f>SUM(D32:AA32)</f>
        <v>0</v>
      </c>
    </row>
    <row r="33" spans="1:29" x14ac:dyDescent="0.25">
      <c r="A33" s="31"/>
      <c r="B33" s="27"/>
      <c r="C33" s="36"/>
      <c r="D33" s="31"/>
      <c r="E33" s="27"/>
      <c r="F33" s="36"/>
      <c r="G33" s="31"/>
      <c r="H33" s="27"/>
      <c r="I33" s="36"/>
      <c r="J33" s="31"/>
      <c r="L33" s="36"/>
      <c r="M33" s="31"/>
      <c r="O33" s="36"/>
      <c r="P33" s="31"/>
      <c r="R33" s="36"/>
      <c r="S33" s="31"/>
      <c r="T33" s="27"/>
      <c r="U33" s="36"/>
      <c r="V33" s="31"/>
      <c r="X33" s="36"/>
      <c r="Y33" s="31"/>
      <c r="Z33" s="27"/>
      <c r="AA33" s="36"/>
      <c r="AB33" s="31">
        <f>SUM(D33:AA33)</f>
        <v>0</v>
      </c>
    </row>
    <row r="34" spans="1:29" x14ac:dyDescent="0.25">
      <c r="A34" s="32"/>
      <c r="B34" s="34"/>
      <c r="C34" s="37"/>
      <c r="D34" s="37"/>
      <c r="E34" s="34"/>
      <c r="F34" s="37"/>
      <c r="G34" s="37"/>
      <c r="H34" s="34"/>
      <c r="I34" s="37"/>
      <c r="J34" s="37"/>
      <c r="K34" s="34"/>
      <c r="L34" s="37"/>
      <c r="M34" s="37"/>
      <c r="N34" s="34"/>
      <c r="O34" s="37"/>
      <c r="P34" s="37"/>
      <c r="Q34" s="34"/>
      <c r="R34" s="37"/>
      <c r="S34" s="37"/>
      <c r="T34" s="34"/>
      <c r="U34" s="37"/>
      <c r="V34" s="37"/>
      <c r="W34" s="34"/>
      <c r="X34" s="37"/>
      <c r="Y34" s="37"/>
      <c r="Z34" s="34"/>
      <c r="AA34" s="37"/>
      <c r="AB34" s="37"/>
      <c r="AC34" s="34"/>
    </row>
    <row r="35" spans="1:29" x14ac:dyDescent="0.25">
      <c r="A35" s="30"/>
      <c r="B35" s="33"/>
      <c r="C35" s="35"/>
      <c r="D35" s="35"/>
      <c r="E35" s="33"/>
      <c r="F35" s="35"/>
      <c r="G35" s="35"/>
      <c r="H35" s="33"/>
      <c r="I35" s="35"/>
      <c r="J35" s="35"/>
      <c r="K35" s="33"/>
      <c r="L35" s="35"/>
      <c r="M35" s="35"/>
      <c r="N35" s="33"/>
      <c r="O35" s="35"/>
      <c r="P35" s="35"/>
      <c r="Q35" s="33"/>
      <c r="R35" s="35"/>
      <c r="S35" s="35"/>
      <c r="T35" s="33"/>
      <c r="U35" s="35"/>
      <c r="V35" s="35"/>
      <c r="W35" s="33"/>
      <c r="X35" s="35"/>
      <c r="Y35" s="35"/>
      <c r="Z35" s="33"/>
      <c r="AA35" s="35"/>
      <c r="AB35" s="35"/>
      <c r="AC35" s="33"/>
    </row>
    <row r="36" spans="1:29" x14ac:dyDescent="0.25">
      <c r="A36" s="31" t="s">
        <v>7</v>
      </c>
      <c r="B36" s="27"/>
      <c r="C36" s="36"/>
      <c r="D36" s="31">
        <f>SUM(D27:D35)</f>
        <v>6365</v>
      </c>
      <c r="E36" s="27"/>
      <c r="F36" s="36"/>
      <c r="G36" s="31">
        <f>SUM(G27:G35)</f>
        <v>1690</v>
      </c>
      <c r="H36" s="27"/>
      <c r="I36" s="36"/>
      <c r="J36" s="31">
        <f>SUM(J27:J35)</f>
        <v>0</v>
      </c>
      <c r="L36" s="36"/>
      <c r="M36" s="31">
        <f>SUM(M27:M35)</f>
        <v>0</v>
      </c>
      <c r="O36" s="36"/>
      <c r="P36" s="31">
        <f>SUM(P27:P35)</f>
        <v>6616.5</v>
      </c>
      <c r="R36" s="36"/>
      <c r="S36" s="31">
        <f>SUM(S27:S35)</f>
        <v>0</v>
      </c>
      <c r="T36" s="27"/>
      <c r="U36" s="36"/>
      <c r="V36" s="31">
        <f>SUM(V27:V35)</f>
        <v>650</v>
      </c>
      <c r="X36" s="36"/>
      <c r="Y36" s="31">
        <f>SUM(Y27:Y35)</f>
        <v>0</v>
      </c>
      <c r="Z36" s="27"/>
      <c r="AA36" s="36"/>
      <c r="AB36" s="31">
        <f>SUM(AB27:AB35)</f>
        <v>15321.5</v>
      </c>
    </row>
    <row r="37" spans="1:29" x14ac:dyDescent="0.25">
      <c r="A37" s="32"/>
      <c r="B37" s="34"/>
      <c r="C37" s="37"/>
      <c r="D37" s="37"/>
      <c r="E37" s="34"/>
      <c r="F37" s="37"/>
      <c r="G37" s="37"/>
      <c r="H37" s="34"/>
      <c r="I37" s="37"/>
      <c r="J37" s="37"/>
      <c r="K37" s="34"/>
      <c r="L37" s="37"/>
      <c r="M37" s="37"/>
      <c r="N37" s="34"/>
      <c r="O37" s="37"/>
      <c r="P37" s="37"/>
      <c r="Q37" s="34"/>
      <c r="R37" s="37"/>
      <c r="S37" s="37"/>
      <c r="T37" s="34"/>
      <c r="U37" s="37"/>
      <c r="V37" s="37"/>
      <c r="W37" s="34"/>
      <c r="X37" s="37"/>
      <c r="Y37" s="37"/>
      <c r="Z37" s="34"/>
      <c r="AA37" s="37"/>
      <c r="AB37" s="37"/>
      <c r="AC37" s="34"/>
    </row>
    <row r="39" spans="1:29" x14ac:dyDescent="0.25">
      <c r="A39" t="s">
        <v>9</v>
      </c>
      <c r="B39" s="45">
        <v>15</v>
      </c>
      <c r="C39">
        <v>415</v>
      </c>
      <c r="D39" s="45">
        <f>+B39*C39</f>
        <v>6225</v>
      </c>
      <c r="F39">
        <v>0</v>
      </c>
      <c r="G39" s="45">
        <f>+B39*F39</f>
        <v>0</v>
      </c>
      <c r="I39">
        <v>0</v>
      </c>
      <c r="J39" s="48">
        <f>+I39*B39</f>
        <v>0</v>
      </c>
      <c r="L39" s="27">
        <v>0</v>
      </c>
      <c r="M39" s="48">
        <f>+L39*B39</f>
        <v>0</v>
      </c>
      <c r="N39" s="27">
        <v>15</v>
      </c>
      <c r="O39" s="27">
        <v>424</v>
      </c>
      <c r="P39" s="48">
        <f>+O39*N39</f>
        <v>6360</v>
      </c>
      <c r="S39" s="28"/>
      <c r="Y39" s="28"/>
    </row>
    <row r="40" spans="1:29" x14ac:dyDescent="0.25">
      <c r="A40" t="s">
        <v>56</v>
      </c>
      <c r="B40" s="45">
        <v>9</v>
      </c>
      <c r="C40">
        <v>10</v>
      </c>
      <c r="D40" s="45">
        <f>+B40*C40</f>
        <v>90</v>
      </c>
      <c r="F40">
        <v>0</v>
      </c>
      <c r="G40" s="45">
        <f>+B40*F40</f>
        <v>0</v>
      </c>
      <c r="I40">
        <v>0</v>
      </c>
      <c r="J40" s="48">
        <f>+I40*B40</f>
        <v>0</v>
      </c>
      <c r="L40" s="27">
        <v>0</v>
      </c>
      <c r="M40" s="48">
        <f>+L40*B40</f>
        <v>0</v>
      </c>
      <c r="N40" s="27">
        <v>9</v>
      </c>
      <c r="O40" s="27">
        <v>24</v>
      </c>
      <c r="P40" s="48">
        <f t="shared" ref="P40:P42" si="1">+O40*N40</f>
        <v>216</v>
      </c>
      <c r="Y40" s="28"/>
    </row>
    <row r="41" spans="1:29" s="27" customFormat="1" x14ac:dyDescent="0.25">
      <c r="A41" s="27" t="s">
        <v>9</v>
      </c>
      <c r="B41" s="45">
        <v>10</v>
      </c>
      <c r="C41" s="27">
        <v>5</v>
      </c>
      <c r="D41" s="45">
        <f>+B41*C41</f>
        <v>50</v>
      </c>
      <c r="F41" s="27">
        <v>0</v>
      </c>
      <c r="G41" s="45">
        <f>+B41*F41</f>
        <v>0</v>
      </c>
      <c r="I41" s="27">
        <v>109</v>
      </c>
      <c r="J41" s="48">
        <f>+I41*B41</f>
        <v>1090</v>
      </c>
      <c r="L41" s="27">
        <v>100</v>
      </c>
      <c r="M41" s="48">
        <f>+L41*B41</f>
        <v>1000</v>
      </c>
      <c r="N41" s="27">
        <v>10</v>
      </c>
      <c r="O41" s="27">
        <v>4</v>
      </c>
      <c r="P41" s="48">
        <f t="shared" si="1"/>
        <v>40</v>
      </c>
      <c r="Y41" s="28"/>
    </row>
    <row r="42" spans="1:29" x14ac:dyDescent="0.25">
      <c r="A42" t="s">
        <v>64</v>
      </c>
      <c r="B42" s="45">
        <v>13</v>
      </c>
      <c r="C42" s="55">
        <v>0</v>
      </c>
      <c r="D42" s="51">
        <f>+B42*C42</f>
        <v>0</v>
      </c>
      <c r="F42">
        <v>130</v>
      </c>
      <c r="G42" s="51">
        <f>+B42*F42</f>
        <v>1690</v>
      </c>
      <c r="I42" s="55">
        <v>0</v>
      </c>
      <c r="J42" s="56">
        <f>+I42*B42</f>
        <v>0</v>
      </c>
      <c r="L42" s="27">
        <v>0</v>
      </c>
      <c r="M42" s="56">
        <f>+L42*B42</f>
        <v>0</v>
      </c>
      <c r="O42" s="27">
        <v>0</v>
      </c>
      <c r="P42" s="56">
        <f t="shared" si="1"/>
        <v>0</v>
      </c>
    </row>
    <row r="44" spans="1:29" x14ac:dyDescent="0.25">
      <c r="A44" s="27" t="s">
        <v>16</v>
      </c>
      <c r="C44">
        <f>SUM(C39:C43)</f>
        <v>430</v>
      </c>
      <c r="D44" s="48">
        <f>SUM(D39:D43)</f>
        <v>6365</v>
      </c>
      <c r="F44" s="27">
        <f>SUM(F39:F43)</f>
        <v>130</v>
      </c>
      <c r="G44" s="48">
        <f>SUM(G39:G43)</f>
        <v>1690</v>
      </c>
      <c r="I44" s="27">
        <f>SUM(I39:I43)</f>
        <v>109</v>
      </c>
      <c r="J44" s="48">
        <f>SUM(J39:J43)</f>
        <v>1090</v>
      </c>
      <c r="M44" s="48">
        <f>SUM(M39:M43)</f>
        <v>1000</v>
      </c>
      <c r="N44" s="27" t="s">
        <v>16</v>
      </c>
      <c r="O44" s="27">
        <f>SUM(O39:O43)</f>
        <v>452</v>
      </c>
      <c r="P44" s="48">
        <f>SUM(P39:P43)</f>
        <v>6616</v>
      </c>
    </row>
    <row r="45" spans="1:29" x14ac:dyDescent="0.25">
      <c r="A45" s="27" t="s">
        <v>39</v>
      </c>
      <c r="D45" s="48"/>
      <c r="N45" s="27" t="s">
        <v>39</v>
      </c>
      <c r="P45" s="48"/>
    </row>
    <row r="46" spans="1:29" x14ac:dyDescent="0.25">
      <c r="G46" s="48"/>
    </row>
    <row r="47" spans="1:29" x14ac:dyDescent="0.25">
      <c r="A47" t="s">
        <v>16</v>
      </c>
    </row>
    <row r="48" spans="1:29" x14ac:dyDescent="0.25">
      <c r="A48" t="s">
        <v>39</v>
      </c>
      <c r="C48">
        <f>+C44</f>
        <v>430</v>
      </c>
      <c r="N48" s="27" t="s">
        <v>60</v>
      </c>
    </row>
    <row r="49" spans="1:24" x14ac:dyDescent="0.25">
      <c r="F49" s="27"/>
    </row>
    <row r="50" spans="1:24" s="65" customFormat="1" ht="30" x14ac:dyDescent="0.25">
      <c r="A50" s="65" t="s">
        <v>66</v>
      </c>
      <c r="N50" s="65" t="s">
        <v>40</v>
      </c>
      <c r="P50" s="66" t="s">
        <v>41</v>
      </c>
      <c r="Q50" s="66" t="s">
        <v>42</v>
      </c>
      <c r="R50" s="66"/>
      <c r="S50" s="66"/>
      <c r="T50" s="66"/>
      <c r="U50" s="66" t="s">
        <v>59</v>
      </c>
      <c r="V50" s="66"/>
      <c r="W50" s="66"/>
      <c r="X50" s="66" t="s">
        <v>43</v>
      </c>
    </row>
    <row r="51" spans="1:24" s="27" customFormat="1" x14ac:dyDescent="0.25">
      <c r="A51" s="27" t="s">
        <v>17</v>
      </c>
    </row>
    <row r="52" spans="1:24" s="27" customFormat="1" x14ac:dyDescent="0.25">
      <c r="A52" s="27" t="s">
        <v>19</v>
      </c>
      <c r="C52" s="27">
        <v>265</v>
      </c>
      <c r="F52" s="45"/>
      <c r="N52" s="27">
        <v>265</v>
      </c>
      <c r="O52" s="45">
        <v>13</v>
      </c>
      <c r="P52" s="48">
        <f>+N52*O52</f>
        <v>3445</v>
      </c>
      <c r="Q52" s="48"/>
    </row>
    <row r="53" spans="1:24" s="27" customFormat="1" x14ac:dyDescent="0.25">
      <c r="A53" s="27" t="s">
        <v>21</v>
      </c>
      <c r="C53" s="27">
        <v>97</v>
      </c>
      <c r="F53" s="45"/>
      <c r="N53" s="27">
        <v>100</v>
      </c>
      <c r="O53" s="45">
        <v>12</v>
      </c>
      <c r="P53" s="48">
        <f t="shared" ref="P53:P57" si="2">+N53*O53</f>
        <v>1200</v>
      </c>
      <c r="Q53" s="48">
        <v>1200</v>
      </c>
      <c r="X53" s="48">
        <f>+P53-Q53</f>
        <v>0</v>
      </c>
    </row>
    <row r="54" spans="1:24" s="27" customFormat="1" x14ac:dyDescent="0.25">
      <c r="A54" s="27" t="s">
        <v>18</v>
      </c>
      <c r="C54" s="27">
        <v>490</v>
      </c>
      <c r="F54" s="45"/>
      <c r="N54" s="27">
        <v>502</v>
      </c>
      <c r="O54" s="45">
        <v>13</v>
      </c>
      <c r="P54" s="48">
        <f t="shared" si="2"/>
        <v>6526</v>
      </c>
      <c r="Q54" s="48">
        <v>6526</v>
      </c>
      <c r="X54" s="48">
        <f>+P54-Q54</f>
        <v>0</v>
      </c>
    </row>
    <row r="55" spans="1:24" s="27" customFormat="1" x14ac:dyDescent="0.25">
      <c r="A55" s="27" t="s">
        <v>57</v>
      </c>
      <c r="C55" s="27">
        <v>26</v>
      </c>
      <c r="F55" s="45"/>
      <c r="N55" s="27">
        <v>26</v>
      </c>
      <c r="O55" s="45">
        <v>15</v>
      </c>
      <c r="P55" s="48">
        <f t="shared" si="2"/>
        <v>390</v>
      </c>
      <c r="Q55" s="48">
        <v>390</v>
      </c>
    </row>
    <row r="56" spans="1:24" s="27" customFormat="1" x14ac:dyDescent="0.25">
      <c r="A56" s="27" t="s">
        <v>58</v>
      </c>
      <c r="C56" s="27">
        <v>6</v>
      </c>
      <c r="F56" s="45"/>
      <c r="N56" s="27">
        <v>6</v>
      </c>
      <c r="O56" s="45">
        <v>11</v>
      </c>
      <c r="P56" s="48">
        <f t="shared" si="2"/>
        <v>66</v>
      </c>
      <c r="Q56" s="48">
        <v>66</v>
      </c>
    </row>
    <row r="57" spans="1:24" s="27" customFormat="1" x14ac:dyDescent="0.25">
      <c r="A57" s="27" t="s">
        <v>20</v>
      </c>
      <c r="C57" s="27">
        <v>10</v>
      </c>
      <c r="F57" s="45"/>
      <c r="N57" s="27">
        <v>12</v>
      </c>
      <c r="O57" s="45">
        <v>0</v>
      </c>
      <c r="P57" s="48">
        <f t="shared" si="2"/>
        <v>0</v>
      </c>
      <c r="Q57" s="48"/>
    </row>
    <row r="58" spans="1:24" s="27" customFormat="1" x14ac:dyDescent="0.25">
      <c r="A58" s="27" t="s">
        <v>61</v>
      </c>
      <c r="C58" s="27">
        <v>51</v>
      </c>
      <c r="F58" s="45"/>
      <c r="O58" s="45"/>
      <c r="P58" s="48"/>
      <c r="Q58" s="48"/>
    </row>
    <row r="59" spans="1:24" s="27" customFormat="1" x14ac:dyDescent="0.25"/>
    <row r="60" spans="1:24" x14ac:dyDescent="0.25">
      <c r="P60" s="48">
        <f>SUM(P52:P59)</f>
        <v>11627</v>
      </c>
      <c r="Q60" s="48">
        <f>SUM(Q52:Q58)</f>
        <v>8182</v>
      </c>
      <c r="U60" s="48">
        <v>1036.76</v>
      </c>
    </row>
    <row r="61" spans="1:24" x14ac:dyDescent="0.25">
      <c r="A61" t="s">
        <v>14</v>
      </c>
      <c r="C61">
        <f>SUM(C48:C59)</f>
        <v>1375</v>
      </c>
      <c r="F61" s="27"/>
    </row>
    <row r="64" spans="1:24" ht="30" x14ac:dyDescent="0.25">
      <c r="A64" s="65" t="s">
        <v>65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 t="s">
        <v>40</v>
      </c>
      <c r="O64" s="65"/>
      <c r="P64" s="66" t="s">
        <v>41</v>
      </c>
      <c r="Q64" s="66" t="s">
        <v>42</v>
      </c>
      <c r="R64" s="66"/>
      <c r="S64" s="66"/>
      <c r="T64" s="66"/>
      <c r="U64" s="66" t="s">
        <v>59</v>
      </c>
    </row>
    <row r="65" spans="1:21" x14ac:dyDescent="0.25">
      <c r="A65" s="27" t="s">
        <v>17</v>
      </c>
      <c r="B65" s="27"/>
      <c r="C65" s="27"/>
      <c r="D65" s="27"/>
      <c r="E65" s="27"/>
      <c r="F65" s="27"/>
      <c r="G65" s="27"/>
      <c r="H65" s="27"/>
      <c r="I65" s="27"/>
      <c r="J65" s="27"/>
      <c r="T65" s="27"/>
      <c r="U65" s="27"/>
    </row>
    <row r="66" spans="1:21" x14ac:dyDescent="0.25">
      <c r="A66" s="27" t="s">
        <v>19</v>
      </c>
      <c r="B66" s="27"/>
      <c r="C66" s="27">
        <v>191</v>
      </c>
      <c r="D66" s="27"/>
      <c r="E66" s="27"/>
      <c r="F66" s="45"/>
      <c r="G66" s="27"/>
      <c r="H66" s="27"/>
      <c r="I66" s="27"/>
      <c r="J66" s="27"/>
      <c r="N66" s="27">
        <v>191</v>
      </c>
      <c r="O66" s="45">
        <v>13</v>
      </c>
      <c r="P66" s="48">
        <f>+N66*O66</f>
        <v>2483</v>
      </c>
      <c r="Q66" s="48"/>
      <c r="T66" s="27"/>
      <c r="U66" s="27"/>
    </row>
    <row r="67" spans="1:21" x14ac:dyDescent="0.25">
      <c r="A67" s="27" t="s">
        <v>21</v>
      </c>
      <c r="B67" s="27"/>
      <c r="C67" s="27">
        <v>63</v>
      </c>
      <c r="D67" s="27"/>
      <c r="E67" s="27"/>
      <c r="F67" s="45"/>
      <c r="G67" s="27"/>
      <c r="H67" s="27"/>
      <c r="I67" s="27"/>
      <c r="J67" s="27"/>
      <c r="N67" s="27">
        <v>64</v>
      </c>
      <c r="O67" s="45">
        <v>12</v>
      </c>
      <c r="P67" s="48">
        <f t="shared" ref="P67:P71" si="3">+N67*O67</f>
        <v>768</v>
      </c>
      <c r="Q67" s="48">
        <v>768</v>
      </c>
      <c r="T67" s="27"/>
      <c r="U67" s="27"/>
    </row>
    <row r="68" spans="1:21" x14ac:dyDescent="0.25">
      <c r="A68" s="27" t="s">
        <v>18</v>
      </c>
      <c r="B68" s="27"/>
      <c r="C68" s="27">
        <v>540</v>
      </c>
      <c r="D68" s="27"/>
      <c r="E68" s="27"/>
      <c r="F68" s="45"/>
      <c r="G68" s="27"/>
      <c r="H68" s="27"/>
      <c r="I68" s="27"/>
      <c r="J68" s="27"/>
      <c r="N68" s="27">
        <v>569</v>
      </c>
      <c r="O68" s="45">
        <v>13</v>
      </c>
      <c r="P68" s="48">
        <f t="shared" si="3"/>
        <v>7397</v>
      </c>
      <c r="Q68" s="48">
        <v>7397</v>
      </c>
      <c r="T68" s="27"/>
      <c r="U68" s="27"/>
    </row>
    <row r="69" spans="1:21" x14ac:dyDescent="0.25">
      <c r="A69" s="27" t="s">
        <v>57</v>
      </c>
      <c r="B69" s="27"/>
      <c r="C69" s="27">
        <v>37</v>
      </c>
      <c r="D69" s="27"/>
      <c r="E69" s="27"/>
      <c r="F69" s="45"/>
      <c r="G69" s="27"/>
      <c r="H69" s="27"/>
      <c r="I69" s="27"/>
      <c r="J69" s="27"/>
      <c r="N69" s="27">
        <v>39</v>
      </c>
      <c r="O69" s="45">
        <v>15</v>
      </c>
      <c r="P69" s="48">
        <f t="shared" si="3"/>
        <v>585</v>
      </c>
      <c r="Q69" s="48">
        <v>585</v>
      </c>
      <c r="T69" s="27"/>
      <c r="U69" s="27"/>
    </row>
    <row r="70" spans="1:21" x14ac:dyDescent="0.25">
      <c r="A70" s="27" t="s">
        <v>58</v>
      </c>
      <c r="B70" s="27"/>
      <c r="C70" s="27">
        <v>0</v>
      </c>
      <c r="D70" s="27"/>
      <c r="E70" s="27"/>
      <c r="F70" s="45"/>
      <c r="G70" s="27"/>
      <c r="H70" s="27"/>
      <c r="I70" s="27"/>
      <c r="J70" s="27"/>
      <c r="N70" s="27">
        <v>0</v>
      </c>
      <c r="O70" s="45">
        <v>11</v>
      </c>
      <c r="P70" s="48">
        <f t="shared" si="3"/>
        <v>0</v>
      </c>
      <c r="Q70" s="48">
        <v>0</v>
      </c>
      <c r="T70" s="27"/>
      <c r="U70" s="27"/>
    </row>
    <row r="71" spans="1:21" x14ac:dyDescent="0.25">
      <c r="A71" s="27" t="s">
        <v>20</v>
      </c>
      <c r="B71" s="27"/>
      <c r="C71" s="27">
        <v>4</v>
      </c>
      <c r="D71" s="27"/>
      <c r="E71" s="27"/>
      <c r="F71" s="45"/>
      <c r="G71" s="27"/>
      <c r="H71" s="27"/>
      <c r="I71" s="27"/>
      <c r="J71" s="27"/>
      <c r="N71" s="27">
        <v>5</v>
      </c>
      <c r="O71" s="45">
        <v>0</v>
      </c>
      <c r="P71" s="48">
        <f t="shared" si="3"/>
        <v>0</v>
      </c>
      <c r="Q71" s="48"/>
      <c r="T71" s="27"/>
      <c r="U71" s="27"/>
    </row>
    <row r="72" spans="1:21" x14ac:dyDescent="0.25">
      <c r="A72" s="27" t="s">
        <v>61</v>
      </c>
      <c r="B72" s="27"/>
      <c r="C72" s="27">
        <v>70</v>
      </c>
      <c r="D72" s="27"/>
      <c r="E72" s="27"/>
      <c r="F72" s="45"/>
      <c r="G72" s="27"/>
      <c r="H72" s="27"/>
      <c r="I72" s="27"/>
      <c r="J72" s="27"/>
      <c r="O72" s="45"/>
      <c r="P72" s="48"/>
      <c r="Q72" s="48"/>
      <c r="T72" s="27"/>
      <c r="U72" s="27"/>
    </row>
    <row r="73" spans="1:2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T73" s="27"/>
      <c r="U73" s="27"/>
    </row>
    <row r="74" spans="1:2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P74" s="48">
        <f>SUM(P66:P73)</f>
        <v>11233</v>
      </c>
      <c r="Q74" s="48">
        <f>SUM(Q66:Q72)</f>
        <v>8750</v>
      </c>
      <c r="T74" s="27"/>
      <c r="U74" s="48">
        <v>1102.78</v>
      </c>
    </row>
    <row r="75" spans="1:21" x14ac:dyDescent="0.25">
      <c r="A75" s="27" t="s">
        <v>14</v>
      </c>
      <c r="B75" s="27"/>
      <c r="C75" s="27">
        <f>SUM(C63:C73)+O44</f>
        <v>1357</v>
      </c>
      <c r="D75" s="27"/>
      <c r="E75" s="27"/>
      <c r="F75" s="27"/>
      <c r="G75" s="27"/>
      <c r="H75" s="27"/>
      <c r="I75" s="27"/>
      <c r="J75" s="27"/>
      <c r="T75" s="27"/>
      <c r="U75" s="27"/>
    </row>
    <row r="76" spans="1:2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T76" s="27"/>
      <c r="U76" s="27"/>
    </row>
  </sheetData>
  <mergeCells count="10">
    <mergeCell ref="AD4:AE4"/>
    <mergeCell ref="C4:D4"/>
    <mergeCell ref="F4:G4"/>
    <mergeCell ref="I4:J4"/>
    <mergeCell ref="X4:Y4"/>
    <mergeCell ref="AA4:AB4"/>
    <mergeCell ref="U4:V4"/>
    <mergeCell ref="L4:M4"/>
    <mergeCell ref="R4:S4"/>
    <mergeCell ref="O4:P4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Tabelle1</vt:lpstr>
      <vt:lpstr>Einzelaufstellung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Doczi</dc:creator>
  <cp:lastModifiedBy>Ute Doczi</cp:lastModifiedBy>
  <dcterms:created xsi:type="dcterms:W3CDTF">2025-03-09T10:19:17Z</dcterms:created>
  <dcterms:modified xsi:type="dcterms:W3CDTF">2026-07-12T15:05:44Z</dcterms:modified>
</cp:coreProperties>
</file>