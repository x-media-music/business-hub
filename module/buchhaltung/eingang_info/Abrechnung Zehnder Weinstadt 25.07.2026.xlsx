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te\"/>
    </mc:Choice>
  </mc:AlternateContent>
  <xr:revisionPtr revIDLastSave="0" documentId="8_{CE1AAE20-B0E4-4574-8CC0-B6B9B47FD93D}" xr6:coauthVersionLast="47" xr6:coauthVersionMax="47" xr10:uidLastSave="{00000000-0000-0000-0000-000000000000}"/>
  <bookViews>
    <workbookView xWindow="2340" yWindow="2340" windowWidth="21600" windowHeight="11295" xr2:uid="{5A873B8E-5C44-441A-A06E-A86C1B5D5D8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1" i="1" l="1"/>
  <c r="H19" i="1"/>
  <c r="H18" i="1"/>
  <c r="H20" i="1"/>
  <c r="H17" i="1"/>
  <c r="C18" i="1"/>
  <c r="G9" i="1"/>
  <c r="C9" i="1"/>
  <c r="E10" i="1"/>
  <c r="I10" i="1" s="1"/>
  <c r="H9" i="1"/>
  <c r="H10" i="1"/>
  <c r="H11" i="1"/>
  <c r="I11" i="1"/>
  <c r="G8" i="1"/>
  <c r="E8" i="1"/>
  <c r="H8" i="1"/>
  <c r="E9" i="1"/>
  <c r="I9" i="1" l="1"/>
  <c r="I8" i="1"/>
</calcChain>
</file>

<file path=xl/sharedStrings.xml><?xml version="1.0" encoding="utf-8"?>
<sst xmlns="http://schemas.openxmlformats.org/spreadsheetml/2006/main" count="36" uniqueCount="19">
  <si>
    <t>Abrechnung Zehnder</t>
  </si>
  <si>
    <t>Artikel</t>
  </si>
  <si>
    <t>Kasten</t>
  </si>
  <si>
    <t>Flaschen</t>
  </si>
  <si>
    <t>geliefert</t>
  </si>
  <si>
    <t>CO2</t>
  </si>
  <si>
    <t>Eisvogel</t>
  </si>
  <si>
    <t>Eisvogel Zitrone</t>
  </si>
  <si>
    <t>Stuttgarter Hofbräu (Fass)</t>
  </si>
  <si>
    <t>Rückgabe voll</t>
  </si>
  <si>
    <t>Rückgabe leer</t>
  </si>
  <si>
    <t>Fehlbestand</t>
  </si>
  <si>
    <t>Coca Cola/Fanta</t>
  </si>
  <si>
    <t>Erwartete Arbechnung Zehnder</t>
  </si>
  <si>
    <t>Verbrauch</t>
  </si>
  <si>
    <t>Leergut</t>
  </si>
  <si>
    <t>Flasche</t>
  </si>
  <si>
    <t>Fässer</t>
  </si>
  <si>
    <t>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</si>
</sst>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56E5D-2CDC-403A-B0EF-2642EAA52CF9}">
  <dimension ref="A1:I21"/>
  <sheetViews>
    <sheetView tabSelected="1" topLeftCell="A3" workbookViewId="0">
      <selection activeCell="H22" sqref="H22"/>
    </sheetView>
  </sheetViews>
  <sheetFormatPr baseColWidth="10" defaultRowHeight="15" x14ac:dyDescent="0.25"/>
  <cols>
    <col min="1" max="1" width="24.85546875" customWidth="1"/>
  </cols>
  <sheetData>
    <row r="1" spans="1:9" x14ac:dyDescent="0.25">
      <c r="A1" s="1" t="s">
        <v>0</v>
      </c>
    </row>
    <row r="4" spans="1:9" x14ac:dyDescent="0.25">
      <c r="B4" s="2" t="s">
        <v>4</v>
      </c>
      <c r="C4" s="2"/>
      <c r="D4" s="2" t="s">
        <v>9</v>
      </c>
      <c r="E4" s="2"/>
      <c r="F4" s="2" t="s">
        <v>10</v>
      </c>
      <c r="G4" s="2"/>
      <c r="H4" s="2" t="s">
        <v>11</v>
      </c>
      <c r="I4" s="2"/>
    </row>
    <row r="5" spans="1:9" x14ac:dyDescent="0.25">
      <c r="A5" t="s">
        <v>1</v>
      </c>
      <c r="B5" t="s">
        <v>2</v>
      </c>
      <c r="C5" t="s">
        <v>3</v>
      </c>
      <c r="D5" t="s">
        <v>2</v>
      </c>
      <c r="E5" t="s">
        <v>3</v>
      </c>
      <c r="F5" t="s">
        <v>2</v>
      </c>
      <c r="G5" t="s">
        <v>3</v>
      </c>
      <c r="H5" t="s">
        <v>2</v>
      </c>
      <c r="I5" t="s">
        <v>3</v>
      </c>
    </row>
    <row r="7" spans="1:9" x14ac:dyDescent="0.25">
      <c r="A7" t="s">
        <v>5</v>
      </c>
      <c r="C7">
        <v>4</v>
      </c>
      <c r="E7">
        <v>2</v>
      </c>
      <c r="G7">
        <v>2</v>
      </c>
      <c r="I7">
        <v>0</v>
      </c>
    </row>
    <row r="8" spans="1:9" x14ac:dyDescent="0.25">
      <c r="A8" t="s">
        <v>6</v>
      </c>
      <c r="B8">
        <v>40</v>
      </c>
      <c r="C8">
        <v>800</v>
      </c>
      <c r="D8">
        <v>31</v>
      </c>
      <c r="E8">
        <f>+D8*20+4</f>
        <v>624</v>
      </c>
      <c r="F8">
        <v>9</v>
      </c>
      <c r="G8">
        <f>+F8*20-20+12</f>
        <v>172</v>
      </c>
      <c r="H8">
        <f>+B8-D8-F8</f>
        <v>0</v>
      </c>
      <c r="I8">
        <f>+C8-E8-G8</f>
        <v>4</v>
      </c>
    </row>
    <row r="9" spans="1:9" x14ac:dyDescent="0.25">
      <c r="A9" t="s">
        <v>12</v>
      </c>
      <c r="B9">
        <v>30</v>
      </c>
      <c r="C9">
        <f>240+480</f>
        <v>720</v>
      </c>
      <c r="D9">
        <v>25</v>
      </c>
      <c r="E9">
        <f>+D9*24+8</f>
        <v>608</v>
      </c>
      <c r="F9">
        <v>5</v>
      </c>
      <c r="G9">
        <f>+F9*24+15-24</f>
        <v>111</v>
      </c>
      <c r="H9">
        <f t="shared" ref="H9:H11" si="0">+B9-D9-F9</f>
        <v>0</v>
      </c>
      <c r="I9">
        <f t="shared" ref="I9:I11" si="1">+C9-E9-G9</f>
        <v>1</v>
      </c>
    </row>
    <row r="10" spans="1:9" x14ac:dyDescent="0.25">
      <c r="A10" t="s">
        <v>7</v>
      </c>
      <c r="B10">
        <v>10</v>
      </c>
      <c r="C10">
        <v>120</v>
      </c>
      <c r="D10">
        <v>9</v>
      </c>
      <c r="E10">
        <f>+D10*12+11</f>
        <v>119</v>
      </c>
      <c r="F10">
        <v>1</v>
      </c>
      <c r="G10">
        <v>0</v>
      </c>
      <c r="H10">
        <f t="shared" si="0"/>
        <v>0</v>
      </c>
      <c r="I10">
        <f t="shared" si="1"/>
        <v>1</v>
      </c>
    </row>
    <row r="11" spans="1:9" x14ac:dyDescent="0.25">
      <c r="A11" t="s">
        <v>8</v>
      </c>
      <c r="B11">
        <v>30</v>
      </c>
      <c r="D11">
        <v>11</v>
      </c>
      <c r="F11">
        <v>19</v>
      </c>
      <c r="H11">
        <f t="shared" si="0"/>
        <v>0</v>
      </c>
      <c r="I11">
        <f t="shared" si="1"/>
        <v>0</v>
      </c>
    </row>
    <row r="15" spans="1:9" x14ac:dyDescent="0.25">
      <c r="A15" t="s">
        <v>13</v>
      </c>
      <c r="C15" t="s">
        <v>14</v>
      </c>
      <c r="E15" t="s">
        <v>15</v>
      </c>
      <c r="H15" t="s">
        <v>18</v>
      </c>
    </row>
    <row r="17" spans="1:8" x14ac:dyDescent="0.25">
      <c r="A17" t="s">
        <v>5</v>
      </c>
      <c r="C17">
        <v>2</v>
      </c>
      <c r="D17" t="s">
        <v>3</v>
      </c>
      <c r="H17">
        <f>+C17-G7-I7</f>
        <v>0</v>
      </c>
    </row>
    <row r="18" spans="1:8" x14ac:dyDescent="0.25">
      <c r="A18" t="s">
        <v>6</v>
      </c>
      <c r="C18">
        <f>172+4</f>
        <v>176</v>
      </c>
      <c r="D18" t="s">
        <v>3</v>
      </c>
      <c r="E18">
        <v>4</v>
      </c>
      <c r="F18" t="s">
        <v>3</v>
      </c>
      <c r="H18">
        <f t="shared" ref="H18:H21" si="2">+C18-G8-I8</f>
        <v>0</v>
      </c>
    </row>
    <row r="19" spans="1:8" x14ac:dyDescent="0.25">
      <c r="A19" t="s">
        <v>12</v>
      </c>
      <c r="C19">
        <v>112</v>
      </c>
      <c r="D19" t="s">
        <v>3</v>
      </c>
      <c r="E19">
        <v>1</v>
      </c>
      <c r="F19" t="s">
        <v>16</v>
      </c>
      <c r="H19">
        <f>+C19-G9-I9</f>
        <v>0</v>
      </c>
    </row>
    <row r="20" spans="1:8" x14ac:dyDescent="0.25">
      <c r="A20" t="s">
        <v>7</v>
      </c>
      <c r="C20">
        <v>1</v>
      </c>
      <c r="D20" t="s">
        <v>16</v>
      </c>
      <c r="E20">
        <v>1</v>
      </c>
      <c r="F20" t="s">
        <v>16</v>
      </c>
      <c r="H20">
        <f t="shared" si="2"/>
        <v>0</v>
      </c>
    </row>
    <row r="21" spans="1:8" x14ac:dyDescent="0.25">
      <c r="A21" t="s">
        <v>8</v>
      </c>
      <c r="C21">
        <v>19</v>
      </c>
      <c r="D21" t="s">
        <v>17</v>
      </c>
      <c r="H21">
        <f>+C21-F11-H11</f>
        <v>0</v>
      </c>
    </row>
  </sheetData>
  <mergeCells count="4">
    <mergeCell ref="B4:C4"/>
    <mergeCell ref="D4:E4"/>
    <mergeCell ref="F4:G4"/>
    <mergeCell ref="H4:I4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 Doczi</dc:creator>
  <cp:lastModifiedBy>Ute Doczi</cp:lastModifiedBy>
  <dcterms:created xsi:type="dcterms:W3CDTF">2026-07-26T10:31:58Z</dcterms:created>
  <dcterms:modified xsi:type="dcterms:W3CDTF">2026-07-26T11:08:38Z</dcterms:modified>
</cp:coreProperties>
</file>