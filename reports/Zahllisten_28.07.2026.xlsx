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-media music" sheetId="1" state="visible" r:id="rId3"/>
    <sheet name="x-media event" sheetId="2" state="visible" r:id="rId4"/>
    <sheet name="Zu klär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<sst xmlns="http://schemas.openxmlformats.org/spreadsheetml/2006/main" count="236" uniqueCount="161">
  <si>
    <t xml:space="preserve">Zahlliste x-media music GmbH — offene Eingangsrechnungen</t>
  </si>
  <si>
    <t xml:space="preserve">Konto BW-Bank …405070673 · Belege → DATEV</t>
  </si>
  <si>
    <t xml:space="preserve">Stand 28.07.2026 · abgeglichen mit Kontoauszug · 12 offene Rechnungen</t>
  </si>
  <si>
    <t xml:space="preserve">☐ Erl.</t>
  </si>
  <si>
    <t xml:space="preserve">Empfänger</t>
  </si>
  <si>
    <t xml:space="preserve">Rechnungs-Nr.</t>
  </si>
  <si>
    <t xml:space="preserve">Betrag €</t>
  </si>
  <si>
    <t xml:space="preserve">Fällig</t>
  </si>
  <si>
    <t xml:space="preserve">IBAN</t>
  </si>
  <si>
    <t xml:space="preserve">BIC</t>
  </si>
  <si>
    <t xml:space="preserve">Leistung / Notiz</t>
  </si>
  <si>
    <t xml:space="preserve">Prüfen</t>
  </si>
  <si>
    <t xml:space="preserve">☐</t>
  </si>
  <si>
    <t xml:space="preserve">Sandra Storm (Steuerberaterin)</t>
  </si>
  <si>
    <t xml:space="preserve">2026386</t>
  </si>
  <si>
    <t xml:space="preserve">überfällig (Rg 30.06.2026, Zahlungserinnerung 27.07.)</t>
  </si>
  <si>
    <t xml:space="preserve">DE93600693460687237009</t>
  </si>
  <si>
    <t xml:space="preserve">GENODES1ALB (VR Alb-Blau-Donau, bitte prüfen)</t>
  </si>
  <si>
    <t xml:space="preserve">Lohnbuchführung/Lohnabrechnungen 04-06/2026 (3 Abrg. je 1 MA)</t>
  </si>
  <si>
    <t xml:space="preserve">TS Veranstaltungstechnik GmbH &amp; Co. KG</t>
  </si>
  <si>
    <t xml:space="preserve">26-0163</t>
  </si>
  <si>
    <t xml:space="preserve">sofort (Rg 18.07.2026)</t>
  </si>
  <si>
    <t xml:space="preserve">DE92630901000171389000</t>
  </si>
  <si>
    <t xml:space="preserve">ULMVDE66</t>
  </si>
  <si>
    <t xml:space="preserve">Backline (FOH dLive + Spectera) Hofbräu Regiment SCF Fanfest Grafenhau</t>
  </si>
  <si>
    <t xml:space="preserve">ernst + könig GmbH</t>
  </si>
  <si>
    <t xml:space="preserve">670/058010</t>
  </si>
  <si>
    <t xml:space="preserve">sofort (Rg 22.07.2026)</t>
  </si>
  <si>
    <t xml:space="preserve">DE27680501010020070993</t>
  </si>
  <si>
    <t xml:space="preserve">FRSPDE66XXX (Spk Freiburg, bitte prüfen)</t>
  </si>
  <si>
    <t xml:space="preserve">Mietwagen Ford Tourneo Custom FR-ZA 256 Zeitraum 22.07.-22.08.2026</t>
  </si>
  <si>
    <t xml:space="preserve">Marco J. Minner (Keyboarder)</t>
  </si>
  <si>
    <t xml:space="preserve">REG2026007016</t>
  </si>
  <si>
    <t xml:space="preserve">sofort (Rg 24.07.2026)</t>
  </si>
  <si>
    <t xml:space="preserve">DE33120300001069655593</t>
  </si>
  <si>
    <t xml:space="preserve">BYLADEM1001 (DKB)</t>
  </si>
  <si>
    <t xml:space="preserve">KORREKTUR ERHALTEN 24.07. - Denkendorf raus, jetzt 7 Auftritte (Ettlin</t>
  </si>
  <si>
    <t xml:space="preserve">Sinan Oezcelik (solid-tone / Gitarrist)</t>
  </si>
  <si>
    <t xml:space="preserve">2026-0002-xmedia</t>
  </si>
  <si>
    <t xml:space="preserve">sofort (mit Erhalt, Rg 24.07.2026)</t>
  </si>
  <si>
    <t xml:space="preserve">DE14500240241434854001</t>
  </si>
  <si>
    <t xml:space="preserve">DEFFDEFFXXX</t>
  </si>
  <si>
    <t xml:space="preserve">KORREKTUR ERHALTEN 24.07. - HSN Denkendorf raus, jetzt 4 Auftritte (We</t>
  </si>
  <si>
    <t xml:space="preserve">Daniela Metellus (Alias DG Projekt)</t>
  </si>
  <si>
    <t xml:space="preserve">2026-0005</t>
  </si>
  <si>
    <t xml:space="preserve">sofort (Rg 31.07.2026, kein Ziel)</t>
  </si>
  <si>
    <t xml:space="preserve">DE83600501017491345810</t>
  </si>
  <si>
    <t xml:space="preserve">SOLADEST600</t>
  </si>
  <si>
    <t xml:space="preserve">Gesang Tannenzäpfle Partyband Juli / Wohnzimmerkonzert Köln 31.07.</t>
  </si>
  <si>
    <t xml:space="preserve">Manuel Weber (Weber event &amp; media)</t>
  </si>
  <si>
    <t xml:space="preserve">RE-2026-1017</t>
  </si>
  <si>
    <t xml:space="preserve">25.07.2026 (Rg 18.07.2026)</t>
  </si>
  <si>
    <t xml:space="preserve">DE90100110012624970678</t>
  </si>
  <si>
    <t xml:space="preserve">NTSBDEB1XXX</t>
  </si>
  <si>
    <t xml:space="preserve">Auf-/Abbau + Fahrdienst Tannenzäpfle Partyband 01.05. Rothaus + 02.05.</t>
  </si>
  <si>
    <t xml:space="preserve">Sandra Köhli (Sängerin)</t>
  </si>
  <si>
    <t xml:space="preserve">HR2026-05a</t>
  </si>
  <si>
    <t xml:space="preserve">01.08.2026 (7 Tage, Rg 25.07.2026)</t>
  </si>
  <si>
    <t xml:space="preserve">DE85600501017805007108</t>
  </si>
  <si>
    <t xml:space="preserve">Sängerin-Gage 7 Auftritte (Ettlingen 02.07/Wernau 03.07/Bonndorf 09.07</t>
  </si>
  <si>
    <t xml:space="preserve">Janis Herb</t>
  </si>
  <si>
    <t xml:space="preserve">07/2026</t>
  </si>
  <si>
    <t xml:space="preserve">04.08.2026 (14 Tage, Rg 21.07.2026)</t>
  </si>
  <si>
    <t xml:space="preserve">DE78666500850008499195</t>
  </si>
  <si>
    <t xml:space="preserve">PZHSDE66XX</t>
  </si>
  <si>
    <t xml:space="preserve">Schlagzeuger-Gage 4 Konzerte (Sounds of Rock Wernau 03.07 / Motocross </t>
  </si>
  <si>
    <t xml:space="preserve">L-Events (Tobias Lang)</t>
  </si>
  <si>
    <t xml:space="preserve">RE2607224</t>
  </si>
  <si>
    <t xml:space="preserve">06.08.2026 (14 Tage, Rg 23.07.2026)</t>
  </si>
  <si>
    <t xml:space="preserve">DE70602500100015231486</t>
  </si>
  <si>
    <t xml:space="preserve">SOLADES1WBN</t>
  </si>
  <si>
    <t xml:space="preserve">FoH Hofbräu-Regiment mehrere Termine (Wernau 03.07 / Motocross Aichwal</t>
  </si>
  <si>
    <t xml:space="preserve">Jonas Schoof (jonez-live / Tannenzäpfle Partyband)</t>
  </si>
  <si>
    <t xml:space="preserve">RE62027072</t>
  </si>
  <si>
    <t xml:space="preserve">06.08.2026 (10 Tage, Rg 27.07.2026)</t>
  </si>
  <si>
    <t xml:space="preserve">DE16384621357019281013</t>
  </si>
  <si>
    <t xml:space="preserve">GENODED1WIL</t>
  </si>
  <si>
    <t xml:space="preserve">Sänger-Gage bei den VIP's - 4 Auftritte (Motocross Aichwald 10.07/Lich | Alternativ PayPal</t>
  </si>
  <si>
    <t xml:space="preserve">RE620270721</t>
  </si>
  <si>
    <t xml:space="preserve">Sänger-Gage Tannenzäpfle Partyband - Wohnzimmerkonzert Ludwigshafen 23 | Alternativ PayPal</t>
  </si>
  <si>
    <t xml:space="preserve">SUMME</t>
  </si>
  <si>
    <t xml:space="preserve">Zahlliste x-media event GmbH — offene Eingangsrechnungen</t>
  </si>
  <si>
    <t xml:space="preserve">Konto BW-Bank …405021794 · Belege → Dropbox</t>
  </si>
  <si>
    <t xml:space="preserve">Stand 28.07.2026 · abgeglichen mit Kontoauszug · 15 offene Rechnungen</t>
  </si>
  <si>
    <t xml:space="preserve">26-0156</t>
  </si>
  <si>
    <t xml:space="preserve">sofort (Rg 11.07.2026)</t>
  </si>
  <si>
    <t xml:space="preserve">FOH + Spectera Hofbräu Regiment 10.07.2026 Denkendorf HSN</t>
  </si>
  <si>
    <t xml:space="preserve">Marc Lamerz (Drum Sounds)</t>
  </si>
  <si>
    <t xml:space="preserve">RE-730 2026</t>
  </si>
  <si>
    <t xml:space="preserve">DE88614901501022007017</t>
  </si>
  <si>
    <t xml:space="preserve">GENODES1AAV</t>
  </si>
  <si>
    <t xml:space="preserve">Schlagzeuger 4 VIPS-Gigs (Motocross Aichwald 10.07 / Lichterfestival S</t>
  </si>
  <si>
    <t xml:space="preserve">XEV2026007017</t>
  </si>
  <si>
    <t xml:space="preserve">NEU 24.07. - Denkendorf-Split Event-Rg: 1x Auftritt Denkendorf 11.07.2</t>
  </si>
  <si>
    <t xml:space="preserve">2026-0001-x-media event</t>
  </si>
  <si>
    <t xml:space="preserve">NEU 24.07. - Denkendorf-Split Event-Rg: 1x Auftritt HSN Denkendorf 10.</t>
  </si>
  <si>
    <t xml:space="preserve">Patrick Schober (Schober Pictures &amp; Lighting)</t>
  </si>
  <si>
    <t xml:space="preserve">RE-2026/07320</t>
  </si>
  <si>
    <t xml:space="preserve">26.07.2026 (14 Tage, Rg 12.07.2026)</t>
  </si>
  <si>
    <t xml:space="preserve">DE44500105175446246278</t>
  </si>
  <si>
    <t xml:space="preserve">Lichtdesign/Operator Regiment 10.07.2026</t>
  </si>
  <si>
    <t xml:space="preserve">RE-2026-1016</t>
  </si>
  <si>
    <t xml:space="preserve">26.07.2026 (Rg 19.07.2026)</t>
  </si>
  <si>
    <t xml:space="preserve">Backline VIP's Auf-/Abbau + Betreuung + Stagehand mehrere Termine (14.</t>
  </si>
  <si>
    <t xml:space="preserve">RE2607223</t>
  </si>
  <si>
    <t xml:space="preserve">27.07.2026 (14 Tage, Rg 13.07.2026)</t>
  </si>
  <si>
    <t xml:space="preserve">FoH Hofbräu-Regiment 10.07.2026 Denkendorf HSN</t>
  </si>
  <si>
    <t xml:space="preserve">Jessie Rennings</t>
  </si>
  <si>
    <t xml:space="preserve">2619</t>
  </si>
  <si>
    <t xml:space="preserve">27.07.2026 (Rg 20.07.2026)</t>
  </si>
  <si>
    <t xml:space="preserve">DE26602500101002412530</t>
  </si>
  <si>
    <t xml:space="preserve">VIPS-Gagen 3 Gigs (VIP 06.06/13.06/27.06)</t>
  </si>
  <si>
    <t xml:space="preserve">Superposition (Alexander Eidel)</t>
  </si>
  <si>
    <t xml:space="preserve">RE-26-1680</t>
  </si>
  <si>
    <t xml:space="preserve">27.07.2026 (7 Tage, Rg 20.07.2026)</t>
  </si>
  <si>
    <t xml:space="preserve">DE91100101236901397101</t>
  </si>
  <si>
    <t xml:space="preserve">QNTODEB2XXX</t>
  </si>
  <si>
    <t xml:space="preserve">Performance Marketing / Meta Ads "107.7 Party" 13.06</t>
  </si>
  <si>
    <t xml:space="preserve">Anselm Boss (Schornsteinfegermeister)</t>
  </si>
  <si>
    <t xml:space="preserve">K-26-02808</t>
  </si>
  <si>
    <t xml:space="preserve">29.07.2026 (Rg 15.07.2026)</t>
  </si>
  <si>
    <t xml:space="preserve">DE14602410740791125800</t>
  </si>
  <si>
    <t xml:space="preserve">COBADEFFXXX</t>
  </si>
  <si>
    <t xml:space="preserve">Schornsteinfeger-Tätigkeiten lt. Feuerstättenbescheid Gebäude Hummelbü</t>
  </si>
  <si>
    <t xml:space="preserve">HR2026-05b</t>
  </si>
  <si>
    <t xml:space="preserve">Denkendorf-Split Event-Rg: Sängerin-Gage 1 Auftritt HSN Denkendorf 10.</t>
  </si>
  <si>
    <t xml:space="preserve">Stephanie Weißenberger</t>
  </si>
  <si>
    <t xml:space="preserve">RE-1252026</t>
  </si>
  <si>
    <t xml:space="preserve">03.08.2026 (7 Tage, Rg 27.07.2026)</t>
  </si>
  <si>
    <t xml:space="preserve">DE15602500101001959544</t>
  </si>
  <si>
    <t xml:space="preserve">Aushilfe Gesang VIP'$ Weinstadt 25.07.2026</t>
  </si>
  <si>
    <t xml:space="preserve">Anwaltskanzlei Stuhlmann &amp; Kollegen</t>
  </si>
  <si>
    <t xml:space="preserve">2600350</t>
  </si>
  <si>
    <t xml:space="preserve">~03.08.2026 (7 Tage, Rg 27.07.2026)</t>
  </si>
  <si>
    <t xml:space="preserve">DE676025001000008359090</t>
  </si>
  <si>
    <t xml:space="preserve">Anwaltskosten Sache x-media ./. LEC Service UG (Mahnverfahren/Zwangsvo</t>
  </si>
  <si>
    <t xml:space="preserve">⚠ IBAN im Beleg fehlerhaft (DE67…8359090 = 23 Stellen) – bitte aus Original prüfen</t>
  </si>
  <si>
    <t xml:space="preserve">08/2026</t>
  </si>
  <si>
    <t xml:space="preserve">Schlagzeuger-Gage Hot-Summer-Nights Denkendorf 10.07.2026</t>
  </si>
  <si>
    <t xml:space="preserve">DIAZ Music &amp; Entertainment (Tobias Bögner)</t>
  </si>
  <si>
    <t xml:space="preserve">RE2202256</t>
  </si>
  <si>
    <t xml:space="preserve">DE07604500500030231911</t>
  </si>
  <si>
    <t xml:space="preserve">SOLADES1LBG</t>
  </si>
  <si>
    <t xml:space="preserve">Musiker/Entertainer-Gage Juli - 4 Gigs (Aichwald 10.07/Diessenhofen 18</t>
  </si>
  <si>
    <t xml:space="preserve">Vor Zahlung klären — NICHT einfach überweisen</t>
  </si>
  <si>
    <t xml:space="preserve">Betrag</t>
  </si>
  <si>
    <t xml:space="preserve">Zu klären</t>
  </si>
  <si>
    <t xml:space="preserve">Mediapool Stuttgart GmbH</t>
  </si>
  <si>
    <t xml:space="preserve">RE131595/1</t>
  </si>
  <si>
    <t xml:space="preserve">7.297,43 €</t>
  </si>
  <si>
    <t xml:space="preserve">ERLEDIGT: am 28.07. korrigiert über EVENT-Konto mit 5.925,23 € bezahlt (Betrag war strittig, Rg auf event umgeschrieben). Nur gegenprüfen — nicht erneut zahlen.</t>
  </si>
  <si>
    <t xml:space="preserve">RE131590/1</t>
  </si>
  <si>
    <t xml:space="preserve">148,75 €</t>
  </si>
  <si>
    <t xml:space="preserve">Korrigierte Rechnung bei Mediapool angefordert (falscher Firmenname). Erst nach korrigierter Rg zahlen.</t>
  </si>
  <si>
    <t xml:space="preserve">Remstalkellerei eG</t>
  </si>
  <si>
    <t xml:space="preserve">1726413890</t>
  </si>
  <si>
    <t xml:space="preserve">69,97 / 74,57 €</t>
  </si>
  <si>
    <t xml:space="preserve">Beleg-Zahlbetrag (74,57 €) weicht von Rechnungssumme (69,97 €) ab — evtl. Vorsaldo. Betrag klären.</t>
  </si>
  <si>
    <t xml:space="preserve">Anwaltskanzlei Stuhlmann</t>
  </si>
  <si>
    <t xml:space="preserve">497,59 €</t>
  </si>
  <si>
    <t xml:space="preserve">Rechnung ist offen &amp; zu zahlen (steht in Event-Liste). ABER: IBAN im Beleg fehlerhaft (23 Stellen) — vor Überweisung aus Original-PDF prüfen.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</si>
</sst>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26"/>
    <col collapsed="false" customWidth="true" hidden="false" outlineLevel="0" max="7" min="7" style="0" width="14"/>
    <col collapsed="false" customWidth="true" hidden="false" outlineLevel="0" max="8" min="8" style="0" width="46"/>
    <col collapsed="false" customWidth="true" hidden="false" outlineLevel="0" max="9" min="9" style="0" width="3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23.85" hidden="false" customHeight="false" outlineLevel="0" collapsed="false">
      <c r="A6" s="4" t="s">
        <v>12</v>
      </c>
      <c r="B6" s="5" t="s">
        <v>13</v>
      </c>
      <c r="C6" s="6" t="s">
        <v>14</v>
      </c>
      <c r="D6" s="7" t="n">
        <v>70.69</v>
      </c>
      <c r="E6" s="8" t="s">
        <v>15</v>
      </c>
      <c r="F6" s="9" t="s">
        <v>16</v>
      </c>
      <c r="G6" s="9" t="s">
        <v>17</v>
      </c>
      <c r="H6" s="5" t="s">
        <v>18</v>
      </c>
      <c r="I6" s="5"/>
    </row>
    <row r="7" customFormat="false" ht="23.85" hidden="false" customHeight="false" outlineLevel="0" collapsed="false">
      <c r="A7" s="4" t="s">
        <v>12</v>
      </c>
      <c r="B7" s="5" t="s">
        <v>19</v>
      </c>
      <c r="C7" s="6" t="s">
        <v>20</v>
      </c>
      <c r="D7" s="7" t="n">
        <v>266.62</v>
      </c>
      <c r="E7" s="5" t="s">
        <v>21</v>
      </c>
      <c r="F7" s="9" t="s">
        <v>22</v>
      </c>
      <c r="G7" s="9" t="s">
        <v>23</v>
      </c>
      <c r="H7" s="5" t="s">
        <v>24</v>
      </c>
      <c r="I7" s="5"/>
    </row>
    <row r="8" customFormat="false" ht="23.85" hidden="false" customHeight="false" outlineLevel="0" collapsed="false">
      <c r="A8" s="4" t="s">
        <v>12</v>
      </c>
      <c r="B8" s="5" t="s">
        <v>25</v>
      </c>
      <c r="C8" s="6" t="s">
        <v>26</v>
      </c>
      <c r="D8" s="7" t="n">
        <v>1190</v>
      </c>
      <c r="E8" s="5" t="s">
        <v>27</v>
      </c>
      <c r="F8" s="9" t="s">
        <v>28</v>
      </c>
      <c r="G8" s="9" t="s">
        <v>29</v>
      </c>
      <c r="H8" s="5" t="s">
        <v>30</v>
      </c>
      <c r="I8" s="5"/>
    </row>
    <row r="9" customFormat="false" ht="23.85" hidden="false" customHeight="false" outlineLevel="0" collapsed="false">
      <c r="A9" s="4" t="s">
        <v>12</v>
      </c>
      <c r="B9" s="5" t="s">
        <v>31</v>
      </c>
      <c r="C9" s="6" t="s">
        <v>32</v>
      </c>
      <c r="D9" s="7" t="n">
        <v>3937.6</v>
      </c>
      <c r="E9" s="5" t="s">
        <v>33</v>
      </c>
      <c r="F9" s="9" t="s">
        <v>34</v>
      </c>
      <c r="G9" s="9" t="s">
        <v>35</v>
      </c>
      <c r="H9" s="5" t="s">
        <v>36</v>
      </c>
      <c r="I9" s="5"/>
    </row>
    <row r="10" customFormat="false" ht="23.85" hidden="false" customHeight="false" outlineLevel="0" collapsed="false">
      <c r="A10" s="4" t="s">
        <v>12</v>
      </c>
      <c r="B10" s="5" t="s">
        <v>37</v>
      </c>
      <c r="C10" s="6" t="s">
        <v>38</v>
      </c>
      <c r="D10" s="7" t="n">
        <v>1712</v>
      </c>
      <c r="E10" s="5" t="s">
        <v>39</v>
      </c>
      <c r="F10" s="9" t="s">
        <v>40</v>
      </c>
      <c r="G10" s="9" t="s">
        <v>41</v>
      </c>
      <c r="H10" s="5" t="s">
        <v>42</v>
      </c>
      <c r="I10" s="5"/>
    </row>
    <row r="11" customFormat="false" ht="23.85" hidden="false" customHeight="false" outlineLevel="0" collapsed="false">
      <c r="A11" s="4" t="s">
        <v>12</v>
      </c>
      <c r="B11" s="5" t="s">
        <v>43</v>
      </c>
      <c r="C11" s="6" t="s">
        <v>44</v>
      </c>
      <c r="D11" s="7" t="n">
        <v>650</v>
      </c>
      <c r="E11" s="5" t="s">
        <v>45</v>
      </c>
      <c r="F11" s="9" t="s">
        <v>46</v>
      </c>
      <c r="G11" s="9" t="s">
        <v>47</v>
      </c>
      <c r="H11" s="5" t="s">
        <v>48</v>
      </c>
      <c r="I11" s="5"/>
    </row>
    <row r="12" customFormat="false" ht="23.85" hidden="false" customHeight="false" outlineLevel="0" collapsed="false">
      <c r="A12" s="4" t="s">
        <v>12</v>
      </c>
      <c r="B12" s="5" t="s">
        <v>49</v>
      </c>
      <c r="C12" s="6" t="s">
        <v>50</v>
      </c>
      <c r="D12" s="7" t="n">
        <v>500</v>
      </c>
      <c r="E12" s="5" t="s">
        <v>51</v>
      </c>
      <c r="F12" s="9" t="s">
        <v>52</v>
      </c>
      <c r="G12" s="9" t="s">
        <v>53</v>
      </c>
      <c r="H12" s="5" t="s">
        <v>54</v>
      </c>
      <c r="I12" s="5"/>
    </row>
    <row r="13" customFormat="false" ht="23.85" hidden="false" customHeight="false" outlineLevel="0" collapsed="false">
      <c r="A13" s="4" t="s">
        <v>12</v>
      </c>
      <c r="B13" s="5" t="s">
        <v>55</v>
      </c>
      <c r="C13" s="6" t="s">
        <v>56</v>
      </c>
      <c r="D13" s="7" t="n">
        <v>3937.6</v>
      </c>
      <c r="E13" s="5" t="s">
        <v>57</v>
      </c>
      <c r="F13" s="9" t="s">
        <v>58</v>
      </c>
      <c r="G13" s="9" t="s">
        <v>47</v>
      </c>
      <c r="H13" s="5" t="s">
        <v>59</v>
      </c>
      <c r="I13" s="5"/>
    </row>
    <row r="14" customFormat="false" ht="23.85" hidden="false" customHeight="false" outlineLevel="0" collapsed="false">
      <c r="A14" s="4" t="s">
        <v>12</v>
      </c>
      <c r="B14" s="5" t="s">
        <v>60</v>
      </c>
      <c r="C14" s="6" t="s">
        <v>61</v>
      </c>
      <c r="D14" s="7" t="n">
        <v>1800</v>
      </c>
      <c r="E14" s="5" t="s">
        <v>62</v>
      </c>
      <c r="F14" s="9" t="s">
        <v>63</v>
      </c>
      <c r="G14" s="9" t="s">
        <v>64</v>
      </c>
      <c r="H14" s="5" t="s">
        <v>65</v>
      </c>
      <c r="I14" s="5"/>
    </row>
    <row r="15" customFormat="false" ht="23.85" hidden="false" customHeight="false" outlineLevel="0" collapsed="false">
      <c r="A15" s="4" t="s">
        <v>12</v>
      </c>
      <c r="B15" s="5" t="s">
        <v>66</v>
      </c>
      <c r="C15" s="6" t="s">
        <v>67</v>
      </c>
      <c r="D15" s="7" t="n">
        <v>2323.17</v>
      </c>
      <c r="E15" s="5" t="s">
        <v>68</v>
      </c>
      <c r="F15" s="9" t="s">
        <v>69</v>
      </c>
      <c r="G15" s="9" t="s">
        <v>70</v>
      </c>
      <c r="H15" s="5" t="s">
        <v>71</v>
      </c>
      <c r="I15" s="5"/>
    </row>
    <row r="16" customFormat="false" ht="23.85" hidden="false" customHeight="false" outlineLevel="0" collapsed="false">
      <c r="A16" s="4" t="s">
        <v>12</v>
      </c>
      <c r="B16" s="5" t="s">
        <v>72</v>
      </c>
      <c r="C16" s="6" t="s">
        <v>73</v>
      </c>
      <c r="D16" s="7" t="n">
        <v>1230.5</v>
      </c>
      <c r="E16" s="5" t="s">
        <v>74</v>
      </c>
      <c r="F16" s="9" t="s">
        <v>75</v>
      </c>
      <c r="G16" s="9" t="s">
        <v>76</v>
      </c>
      <c r="H16" s="5" t="s">
        <v>77</v>
      </c>
      <c r="I16" s="5"/>
    </row>
    <row r="17" customFormat="false" ht="35.05" hidden="false" customHeight="false" outlineLevel="0" collapsed="false">
      <c r="A17" s="4" t="s">
        <v>12</v>
      </c>
      <c r="B17" s="5" t="s">
        <v>72</v>
      </c>
      <c r="C17" s="6" t="s">
        <v>78</v>
      </c>
      <c r="D17" s="7" t="n">
        <v>599.2</v>
      </c>
      <c r="E17" s="5" t="s">
        <v>74</v>
      </c>
      <c r="F17" s="9" t="s">
        <v>75</v>
      </c>
      <c r="G17" s="9" t="s">
        <v>76</v>
      </c>
      <c r="H17" s="5" t="s">
        <v>79</v>
      </c>
      <c r="I17" s="5"/>
    </row>
    <row r="18" customFormat="false" ht="15" hidden="false" customHeight="false" outlineLevel="0" collapsed="false">
      <c r="A18" s="10"/>
      <c r="B18" s="10"/>
      <c r="C18" s="11" t="s">
        <v>80</v>
      </c>
      <c r="D18" s="12" t="n">
        <f aca="false">SUM(D6:D17)</f>
        <v>18217.38</v>
      </c>
      <c r="E18" s="10"/>
      <c r="F18" s="10"/>
      <c r="G18" s="10"/>
      <c r="H18" s="10"/>
      <c r="I1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26"/>
    <col collapsed="false" customWidth="true" hidden="false" outlineLevel="0" max="7" min="7" style="0" width="14"/>
    <col collapsed="false" customWidth="true" hidden="false" outlineLevel="0" max="8" min="8" style="0" width="46"/>
    <col collapsed="false" customWidth="true" hidden="false" outlineLevel="0" max="9" min="9" style="0" width="30"/>
  </cols>
  <sheetData>
    <row r="1" customFormat="false" ht="18.55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3" customFormat="false" ht="15" hidden="false" customHeight="false" outlineLevel="0" collapsed="false">
      <c r="A3" s="2" t="s">
        <v>83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23.85" hidden="false" customHeight="false" outlineLevel="0" collapsed="false">
      <c r="A6" s="4" t="s">
        <v>12</v>
      </c>
      <c r="B6" s="5" t="s">
        <v>19</v>
      </c>
      <c r="C6" s="6" t="s">
        <v>84</v>
      </c>
      <c r="D6" s="7" t="n">
        <v>266.62</v>
      </c>
      <c r="E6" s="5" t="s">
        <v>85</v>
      </c>
      <c r="F6" s="9" t="s">
        <v>22</v>
      </c>
      <c r="G6" s="9" t="s">
        <v>23</v>
      </c>
      <c r="H6" s="5" t="s">
        <v>86</v>
      </c>
      <c r="I6" s="5"/>
    </row>
    <row r="7" customFormat="false" ht="23.85" hidden="false" customHeight="false" outlineLevel="0" collapsed="false">
      <c r="A7" s="4" t="s">
        <v>12</v>
      </c>
      <c r="B7" s="5" t="s">
        <v>87</v>
      </c>
      <c r="C7" s="6" t="s">
        <v>88</v>
      </c>
      <c r="D7" s="7" t="n">
        <v>1391</v>
      </c>
      <c r="E7" s="5" t="s">
        <v>27</v>
      </c>
      <c r="F7" s="9" t="s">
        <v>89</v>
      </c>
      <c r="G7" s="9" t="s">
        <v>90</v>
      </c>
      <c r="H7" s="5" t="s">
        <v>91</v>
      </c>
      <c r="I7" s="5"/>
    </row>
    <row r="8" customFormat="false" ht="23.85" hidden="false" customHeight="false" outlineLevel="0" collapsed="false">
      <c r="A8" s="4" t="s">
        <v>12</v>
      </c>
      <c r="B8" s="5" t="s">
        <v>31</v>
      </c>
      <c r="C8" s="6" t="s">
        <v>92</v>
      </c>
      <c r="D8" s="7" t="n">
        <v>535</v>
      </c>
      <c r="E8" s="5" t="s">
        <v>33</v>
      </c>
      <c r="F8" s="9" t="s">
        <v>34</v>
      </c>
      <c r="G8" s="9" t="s">
        <v>35</v>
      </c>
      <c r="H8" s="5" t="s">
        <v>93</v>
      </c>
      <c r="I8" s="5"/>
    </row>
    <row r="9" customFormat="false" ht="23.85" hidden="false" customHeight="false" outlineLevel="0" collapsed="false">
      <c r="A9" s="4" t="s">
        <v>12</v>
      </c>
      <c r="B9" s="5" t="s">
        <v>37</v>
      </c>
      <c r="C9" s="6" t="s">
        <v>94</v>
      </c>
      <c r="D9" s="7" t="n">
        <v>428</v>
      </c>
      <c r="E9" s="5" t="s">
        <v>39</v>
      </c>
      <c r="F9" s="9" t="s">
        <v>40</v>
      </c>
      <c r="G9" s="9" t="s">
        <v>41</v>
      </c>
      <c r="H9" s="5" t="s">
        <v>95</v>
      </c>
      <c r="I9" s="5"/>
    </row>
    <row r="10" customFormat="false" ht="23.85" hidden="false" customHeight="false" outlineLevel="0" collapsed="false">
      <c r="A10" s="4" t="s">
        <v>12</v>
      </c>
      <c r="B10" s="5" t="s">
        <v>96</v>
      </c>
      <c r="C10" s="6" t="s">
        <v>97</v>
      </c>
      <c r="D10" s="7" t="n">
        <v>474.93</v>
      </c>
      <c r="E10" s="5" t="s">
        <v>98</v>
      </c>
      <c r="F10" s="9" t="s">
        <v>99</v>
      </c>
      <c r="G10" s="9"/>
      <c r="H10" s="5" t="s">
        <v>100</v>
      </c>
      <c r="I10" s="5"/>
    </row>
    <row r="11" customFormat="false" ht="23.85" hidden="false" customHeight="false" outlineLevel="0" collapsed="false">
      <c r="A11" s="4" t="s">
        <v>12</v>
      </c>
      <c r="B11" s="5" t="s">
        <v>49</v>
      </c>
      <c r="C11" s="6" t="s">
        <v>101</v>
      </c>
      <c r="D11" s="7" t="n">
        <v>2240</v>
      </c>
      <c r="E11" s="5" t="s">
        <v>102</v>
      </c>
      <c r="F11" s="9" t="s">
        <v>52</v>
      </c>
      <c r="G11" s="9" t="s">
        <v>53</v>
      </c>
      <c r="H11" s="5" t="s">
        <v>103</v>
      </c>
      <c r="I11" s="5"/>
    </row>
    <row r="12" customFormat="false" ht="23.85" hidden="false" customHeight="false" outlineLevel="0" collapsed="false">
      <c r="A12" s="4" t="s">
        <v>12</v>
      </c>
      <c r="B12" s="5" t="s">
        <v>66</v>
      </c>
      <c r="C12" s="6" t="s">
        <v>104</v>
      </c>
      <c r="D12" s="7" t="n">
        <v>534.33</v>
      </c>
      <c r="E12" s="5" t="s">
        <v>105</v>
      </c>
      <c r="F12" s="9" t="s">
        <v>69</v>
      </c>
      <c r="G12" s="9" t="s">
        <v>70</v>
      </c>
      <c r="H12" s="5" t="s">
        <v>106</v>
      </c>
      <c r="I12" s="5"/>
    </row>
    <row r="13" customFormat="false" ht="15" hidden="false" customHeight="false" outlineLevel="0" collapsed="false">
      <c r="A13" s="4" t="s">
        <v>12</v>
      </c>
      <c r="B13" s="5" t="s">
        <v>107</v>
      </c>
      <c r="C13" s="6" t="s">
        <v>108</v>
      </c>
      <c r="D13" s="7" t="n">
        <v>900</v>
      </c>
      <c r="E13" s="5" t="s">
        <v>109</v>
      </c>
      <c r="F13" s="9" t="s">
        <v>110</v>
      </c>
      <c r="G13" s="9" t="s">
        <v>70</v>
      </c>
      <c r="H13" s="5" t="s">
        <v>111</v>
      </c>
      <c r="I13" s="5"/>
    </row>
    <row r="14" customFormat="false" ht="23.85" hidden="false" customHeight="false" outlineLevel="0" collapsed="false">
      <c r="A14" s="4" t="s">
        <v>12</v>
      </c>
      <c r="B14" s="5" t="s">
        <v>112</v>
      </c>
      <c r="C14" s="6" t="s">
        <v>113</v>
      </c>
      <c r="D14" s="7" t="n">
        <v>238</v>
      </c>
      <c r="E14" s="5" t="s">
        <v>114</v>
      </c>
      <c r="F14" s="9" t="s">
        <v>115</v>
      </c>
      <c r="G14" s="9" t="s">
        <v>116</v>
      </c>
      <c r="H14" s="5" t="s">
        <v>117</v>
      </c>
      <c r="I14" s="5"/>
    </row>
    <row r="15" customFormat="false" ht="23.85" hidden="false" customHeight="false" outlineLevel="0" collapsed="false">
      <c r="A15" s="4" t="s">
        <v>12</v>
      </c>
      <c r="B15" s="5" t="s">
        <v>118</v>
      </c>
      <c r="C15" s="6" t="s">
        <v>119</v>
      </c>
      <c r="D15" s="7" t="n">
        <v>87.87</v>
      </c>
      <c r="E15" s="5" t="s">
        <v>120</v>
      </c>
      <c r="F15" s="9" t="s">
        <v>121</v>
      </c>
      <c r="G15" s="9" t="s">
        <v>122</v>
      </c>
      <c r="H15" s="5" t="s">
        <v>123</v>
      </c>
      <c r="I15" s="5"/>
    </row>
    <row r="16" customFormat="false" ht="23.85" hidden="false" customHeight="false" outlineLevel="0" collapsed="false">
      <c r="A16" s="4" t="s">
        <v>12</v>
      </c>
      <c r="B16" s="5" t="s">
        <v>55</v>
      </c>
      <c r="C16" s="6" t="s">
        <v>124</v>
      </c>
      <c r="D16" s="7" t="n">
        <v>535</v>
      </c>
      <c r="E16" s="5" t="s">
        <v>57</v>
      </c>
      <c r="F16" s="9" t="s">
        <v>58</v>
      </c>
      <c r="G16" s="9" t="s">
        <v>47</v>
      </c>
      <c r="H16" s="5" t="s">
        <v>125</v>
      </c>
      <c r="I16" s="5"/>
    </row>
    <row r="17" customFormat="false" ht="23.85" hidden="false" customHeight="false" outlineLevel="0" collapsed="false">
      <c r="A17" s="4" t="s">
        <v>12</v>
      </c>
      <c r="B17" s="5" t="s">
        <v>126</v>
      </c>
      <c r="C17" s="6" t="s">
        <v>127</v>
      </c>
      <c r="D17" s="7" t="n">
        <v>350</v>
      </c>
      <c r="E17" s="5" t="s">
        <v>128</v>
      </c>
      <c r="F17" s="9" t="s">
        <v>129</v>
      </c>
      <c r="G17" s="9" t="s">
        <v>70</v>
      </c>
      <c r="H17" s="5" t="s">
        <v>130</v>
      </c>
      <c r="I17" s="5"/>
    </row>
    <row r="18" customFormat="false" ht="35.05" hidden="false" customHeight="false" outlineLevel="0" collapsed="false">
      <c r="A18" s="4" t="s">
        <v>12</v>
      </c>
      <c r="B18" s="5" t="s">
        <v>131</v>
      </c>
      <c r="C18" s="6" t="s">
        <v>132</v>
      </c>
      <c r="D18" s="7" t="n">
        <v>497.59</v>
      </c>
      <c r="E18" s="5" t="s">
        <v>133</v>
      </c>
      <c r="F18" s="9" t="s">
        <v>134</v>
      </c>
      <c r="G18" s="9" t="s">
        <v>70</v>
      </c>
      <c r="H18" s="5" t="s">
        <v>135</v>
      </c>
      <c r="I18" s="13" t="s">
        <v>136</v>
      </c>
    </row>
    <row r="19" customFormat="false" ht="23.85" hidden="false" customHeight="false" outlineLevel="0" collapsed="false">
      <c r="A19" s="4" t="s">
        <v>12</v>
      </c>
      <c r="B19" s="5" t="s">
        <v>60</v>
      </c>
      <c r="C19" s="6" t="s">
        <v>137</v>
      </c>
      <c r="D19" s="7" t="n">
        <v>450</v>
      </c>
      <c r="E19" s="5" t="s">
        <v>62</v>
      </c>
      <c r="F19" s="9" t="s">
        <v>63</v>
      </c>
      <c r="G19" s="9" t="s">
        <v>64</v>
      </c>
      <c r="H19" s="5" t="s">
        <v>138</v>
      </c>
      <c r="I19" s="5"/>
    </row>
    <row r="20" customFormat="false" ht="23.85" hidden="false" customHeight="false" outlineLevel="0" collapsed="false">
      <c r="A20" s="4" t="s">
        <v>12</v>
      </c>
      <c r="B20" s="5" t="s">
        <v>139</v>
      </c>
      <c r="C20" s="6" t="s">
        <v>140</v>
      </c>
      <c r="D20" s="7" t="n">
        <v>1380.44</v>
      </c>
      <c r="E20" s="5" t="s">
        <v>74</v>
      </c>
      <c r="F20" s="9" t="s">
        <v>141</v>
      </c>
      <c r="G20" s="9" t="s">
        <v>142</v>
      </c>
      <c r="H20" s="5" t="s">
        <v>143</v>
      </c>
      <c r="I20" s="5"/>
    </row>
    <row r="21" customFormat="false" ht="15" hidden="false" customHeight="false" outlineLevel="0" collapsed="false">
      <c r="A21" s="10"/>
      <c r="B21" s="10"/>
      <c r="C21" s="11" t="s">
        <v>80</v>
      </c>
      <c r="D21" s="12" t="n">
        <f aca="false">SUM(D6:D20)</f>
        <v>10308.78</v>
      </c>
      <c r="E21" s="10"/>
      <c r="F21" s="10"/>
      <c r="G21" s="10"/>
      <c r="H21" s="10"/>
      <c r="I2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95"/>
  </cols>
  <sheetData>
    <row r="1" customFormat="false" ht="17.35" hidden="false" customHeight="false" outlineLevel="0" collapsed="false">
      <c r="A1" s="14" t="s">
        <v>144</v>
      </c>
    </row>
    <row r="3" customFormat="false" ht="15" hidden="false" customHeight="false" outlineLevel="0" collapsed="false">
      <c r="A3" s="15" t="s">
        <v>4</v>
      </c>
      <c r="B3" s="15" t="s">
        <v>5</v>
      </c>
      <c r="C3" s="15" t="s">
        <v>145</v>
      </c>
      <c r="D3" s="15" t="s">
        <v>146</v>
      </c>
    </row>
    <row r="4" customFormat="false" ht="23.85" hidden="false" customHeight="false" outlineLevel="0" collapsed="false">
      <c r="A4" s="16" t="s">
        <v>147</v>
      </c>
      <c r="B4" s="16" t="s">
        <v>148</v>
      </c>
      <c r="C4" s="16" t="s">
        <v>149</v>
      </c>
      <c r="D4" s="17" t="s">
        <v>150</v>
      </c>
    </row>
    <row r="5" customFormat="false" ht="15" hidden="false" customHeight="false" outlineLevel="0" collapsed="false">
      <c r="A5" s="16" t="s">
        <v>147</v>
      </c>
      <c r="B5" s="16" t="s">
        <v>151</v>
      </c>
      <c r="C5" s="16" t="s">
        <v>152</v>
      </c>
      <c r="D5" s="17" t="s">
        <v>153</v>
      </c>
    </row>
    <row r="6" customFormat="false" ht="15" hidden="false" customHeight="false" outlineLevel="0" collapsed="false">
      <c r="A6" s="16" t="s">
        <v>154</v>
      </c>
      <c r="B6" s="16" t="s">
        <v>155</v>
      </c>
      <c r="C6" s="16" t="s">
        <v>156</v>
      </c>
      <c r="D6" s="17" t="s">
        <v>157</v>
      </c>
    </row>
    <row r="7" customFormat="false" ht="23.85" hidden="false" customHeight="false" outlineLevel="0" collapsed="false">
      <c r="A7" s="16" t="s">
        <v>158</v>
      </c>
      <c r="B7" s="16" t="s">
        <v>132</v>
      </c>
      <c r="C7" s="16" t="s">
        <v>159</v>
      </c>
      <c r="D7" s="17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2026-07-28T18:04:12Z</dcterms:created>
  <dc:creator>openpyxl</dc:creator>
  <dc:description/>
  <dc:language>en-US</dc:language>
  <cp:lastModifiedBy/>
  <dcterms:modified xsi:type="dcterms:W3CDTF">2026-07-28T18:04:12Z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