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rlehen Janis Her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€-407] #,##0.00"/>
    <numFmt numFmtId="165" formatCode="yyyy-mm-dd"/>
    <numFmt numFmtId="166" formatCode="DD.MM.YYYY"/>
  </numFmts>
  <fonts count="6">
    <font>
      <name val="Calibri"/>
      <family val="2"/>
      <color theme="1"/>
      <sz val="11"/>
      <scheme val="minor"/>
    </font>
    <font>
      <b val="1"/>
      <sz val="13"/>
    </font>
    <font>
      <color rgb="00666666"/>
      <sz val="9"/>
    </font>
    <font>
      <b val="1"/>
    </font>
    <font>
      <color rgb="00666666"/>
      <sz val="8"/>
    </font>
    <font>
      <color rgb="00444444"/>
      <sz val="9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4">
    <border>
      <left/>
      <right/>
      <top/>
      <bottom/>
      <diagonal/>
    </border>
    <border>
      <bottom style="medium">
        <color rgb="00999999"/>
      </bottom>
    </border>
    <border>
      <bottom style="thin">
        <color rgb="00BFBFBF"/>
      </bottom>
    </border>
    <border>
      <top style="medium">
        <color rgb="00999999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0" fontId="3" fillId="2" borderId="1" applyAlignment="1" pivotButton="0" quotePrefix="0" xfId="0">
      <alignment horizontal="center" wrapText="1"/>
    </xf>
    <xf numFmtId="166" fontId="0" fillId="0" borderId="2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164" fontId="0" fillId="0" borderId="2" pivotButton="0" quotePrefix="0" xfId="0"/>
    <xf numFmtId="164" fontId="3" fillId="0" borderId="2" pivotButton="0" quotePrefix="0" xfId="0"/>
    <xf numFmtId="0" fontId="4" fillId="0" borderId="2" pivotButton="0" quotePrefix="0" xfId="0"/>
    <xf numFmtId="0" fontId="3" fillId="2" borderId="3" pivotButton="0" quotePrefix="0" xfId="0"/>
    <xf numFmtId="164" fontId="3" fillId="2" borderId="3" pivotButton="0" quotePrefix="0" xfId="0"/>
    <xf numFmtId="0" fontId="4" fillId="2" borderId="3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7" customWidth="1" min="3" max="3"/>
    <col width="13" customWidth="1" min="4" max="4"/>
    <col width="19" customWidth="1" min="5" max="5"/>
    <col width="15" customWidth="1" min="6" max="6"/>
    <col width="52" customWidth="1" min="7" max="7"/>
  </cols>
  <sheetData>
    <row r="1">
      <c r="A1" s="1" t="inlineStr">
        <is>
          <t>Darlehen Janis Herb — x-media music GmbH</t>
        </is>
      </c>
    </row>
    <row r="2">
      <c r="A2" s="2" t="inlineStr">
        <is>
          <t>Staffelrechnung, Zinsen taggenau act/365, Zins wird der Restschuld zugeschlagen</t>
        </is>
      </c>
    </row>
    <row r="4">
      <c r="A4" s="3" t="inlineStr">
        <is>
          <t>Darlehensbetrag</t>
        </is>
      </c>
      <c r="B4" s="4" t="n">
        <v>4000</v>
      </c>
    </row>
    <row r="5">
      <c r="A5" s="3" t="inlineStr">
        <is>
          <t>Auszahlung am</t>
        </is>
      </c>
      <c r="B5" s="5" t="n">
        <v>46113</v>
      </c>
    </row>
    <row r="6">
      <c r="A6" s="3" t="inlineStr">
        <is>
          <t>Zinssatz p.a.</t>
        </is>
      </c>
      <c r="B6" s="6" t="n">
        <v>0.03</v>
      </c>
    </row>
    <row r="8">
      <c r="A8" s="7" t="inlineStr">
        <is>
          <t>Datum</t>
        </is>
      </c>
      <c r="B8" s="7" t="inlineStr">
        <is>
          <t>Vorgang</t>
        </is>
      </c>
      <c r="C8" s="7" t="inlineStr">
        <is>
          <t>Tage</t>
        </is>
      </c>
      <c r="D8" s="7" t="inlineStr">
        <is>
          <t>Zins</t>
        </is>
      </c>
      <c r="E8" s="7" t="inlineStr">
        <is>
          <t>Auszahlung/Tilgung</t>
        </is>
      </c>
      <c r="F8" s="7" t="inlineStr">
        <is>
          <t>Restschuld</t>
        </is>
      </c>
      <c r="G8" s="7" t="inlineStr">
        <is>
          <t>Beleg / Bemerkung</t>
        </is>
      </c>
    </row>
    <row r="9">
      <c r="A9" s="8" t="n">
        <v>46113</v>
      </c>
      <c r="B9" s="9" t="inlineStr">
        <is>
          <t>Auszahlung</t>
        </is>
      </c>
      <c r="C9" s="10" t="inlineStr">
        <is>
          <t>–</t>
        </is>
      </c>
      <c r="D9" s="9" t="inlineStr">
        <is>
          <t>–</t>
        </is>
      </c>
      <c r="E9" s="11" t="n">
        <v>4000</v>
      </c>
      <c r="F9" s="12">
        <f>E9</f>
        <v/>
      </c>
      <c r="G9" s="13" t="inlineStr">
        <is>
          <t>Darlehen ausgereicht</t>
        </is>
      </c>
    </row>
    <row r="10">
      <c r="A10" s="8" t="n">
        <v>46153</v>
      </c>
      <c r="B10" s="9" t="inlineStr">
        <is>
          <t>Tilgung</t>
        </is>
      </c>
      <c r="C10" s="10">
        <f>A10-A9</f>
        <v/>
      </c>
      <c r="D10" s="11">
        <f>ROUND(F9*$B$6*C10/365,2)</f>
        <v/>
      </c>
      <c r="E10" s="11" t="n">
        <v>800</v>
      </c>
      <c r="F10" s="12">
        <f>F9+D10-E10</f>
        <v/>
      </c>
      <c r="G10" s="13" t="inlineStr">
        <is>
          <t>RG 04/2026 — Verrechnung</t>
        </is>
      </c>
    </row>
    <row r="11">
      <c r="A11" s="8" t="n">
        <v>46173</v>
      </c>
      <c r="B11" s="9" t="inlineStr">
        <is>
          <t>Tilgung</t>
        </is>
      </c>
      <c r="C11" s="10">
        <f>A11-A10</f>
        <v/>
      </c>
      <c r="D11" s="11">
        <f>ROUND(F10*$B$6*C11/365,2)</f>
        <v/>
      </c>
      <c r="E11" s="11" t="n">
        <v>450</v>
      </c>
      <c r="F11" s="12">
        <f>F10+D11-E11</f>
        <v/>
      </c>
      <c r="G11" s="13" t="inlineStr">
        <is>
          <t>RG 05/2026 — Verrechnung</t>
        </is>
      </c>
    </row>
    <row r="12">
      <c r="A12" s="8" t="n">
        <v>46233</v>
      </c>
      <c r="B12" s="9" t="inlineStr">
        <is>
          <t>Tilgung</t>
        </is>
      </c>
      <c r="C12" s="10">
        <f>A12-A11</f>
        <v/>
      </c>
      <c r="D12" s="11">
        <f>ROUND(F11*$B$6*C12/365,2)</f>
        <v/>
      </c>
      <c r="E12" s="11" t="n">
        <v>600</v>
      </c>
      <c r="F12" s="12">
        <f>F11+D12-E12</f>
        <v/>
      </c>
      <c r="G12" s="13" t="inlineStr">
        <is>
          <t>Verrechnung — Rechnungsbezug nachtragen</t>
        </is>
      </c>
    </row>
    <row r="13">
      <c r="A13" s="8" t="n">
        <v>46265</v>
      </c>
      <c r="B13" s="9" t="inlineStr">
        <is>
          <t>Tilgung</t>
        </is>
      </c>
      <c r="C13" s="10">
        <f>A13-A12</f>
        <v/>
      </c>
      <c r="D13" s="11">
        <f>ROUND(F12*$B$6*C13/365,2)</f>
        <v/>
      </c>
      <c r="E13" s="11" t="n">
        <v>150</v>
      </c>
      <c r="F13" s="12">
        <f>F12+D13-E13</f>
        <v/>
      </c>
      <c r="G13" s="13" t="inlineStr">
        <is>
          <t>RG August 2026 (2.) — VORGEMERKT, Zahlung noch offen</t>
        </is>
      </c>
    </row>
    <row r="14">
      <c r="A14" s="14" t="inlineStr">
        <is>
          <t>Summe / Stand</t>
        </is>
      </c>
      <c r="B14" s="14" t="n"/>
      <c r="C14" s="14" t="n"/>
      <c r="D14" s="15">
        <f>SUM(D9:D13)</f>
        <v/>
      </c>
      <c r="E14" s="15">
        <f>SUM(E10:E13)</f>
        <v/>
      </c>
      <c r="F14" s="15">
        <f>F13</f>
        <v/>
      </c>
      <c r="G14" s="16" t="inlineStr">
        <is>
          <t>Zinsen / getilgt / Restschuld</t>
        </is>
      </c>
    </row>
    <row r="17">
      <c r="A17" s="3" t="inlineStr">
        <is>
          <t>Hinweise</t>
        </is>
      </c>
    </row>
    <row r="18">
      <c r="A18" s="17" t="inlineStr">
        <is>
          <t>· Spalte C (Tage) rechnet automatisch aus den Datumsfeldern — bitte NICHT von Hand überschreiben.</t>
        </is>
      </c>
    </row>
    <row r="19">
      <c r="A19" s="17" t="inlineStr">
        <is>
          <t>· Neue Tilgung: Zeile oberhalb der Summenzeile einfügen, Datum + Betrag eintragen, Formeln aus der Zeile darüber herunterziehen.</t>
        </is>
      </c>
    </row>
    <row r="20">
      <c r="A20" s="17" t="inlineStr">
        <is>
          <t>· Führende Quelle im Business-Hub: module/darlehen/darlehen_janis_herb.csv — dort buchen, PDF via scripts/darlehen.py.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2026-08-31T07:08:17Z</dcterms:created>
  <dcterms:modified xmlns:dcterms="http://purl.org/dc/terms/" xmlns:xsi="http://www.w3.org/2001/XMLSchema-instance" xsi:type="dcterms:W3CDTF">2026-08-31T07:08:17Z</dcterms:modified>
</cp:coreProperties>
</file>